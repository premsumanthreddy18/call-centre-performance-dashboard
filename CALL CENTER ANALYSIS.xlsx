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C:\Users\prems\OneDrive\Desktop\PROJECTS\DATA FILES BI\"/>
    </mc:Choice>
  </mc:AlternateContent>
  <xr:revisionPtr revIDLastSave="0" documentId="13_ncr:1_{54094953-2A6D-4869-B12A-51E469E2B0B1}" xr6:coauthVersionLast="47" xr6:coauthVersionMax="47" xr10:uidLastSave="{00000000-0000-0000-0000-000000000000}"/>
  <bookViews>
    <workbookView xWindow="-108" yWindow="-108" windowWidth="23256" windowHeight="13176" activeTab="3" xr2:uid="{26D4546B-D2A1-4444-8EAF-A6228F96F0C1}"/>
  </bookViews>
  <sheets>
    <sheet name="pivots" sheetId="8" r:id="rId1"/>
    <sheet name="Data" sheetId="2" r:id="rId2"/>
    <sheet name="Assets" sheetId="4" r:id="rId3"/>
    <sheet name="report" sheetId="5" r:id="rId4"/>
  </sheets>
  <definedNames>
    <definedName name="_xlnm._FilterDatabase" localSheetId="1"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87" r:id="rId9"/>
    <pivotCache cacheId="90" r:id="rId10"/>
    <pivotCache cacheId="93" r:id="rId11"/>
    <pivotCache cacheId="96" r:id="rId12"/>
    <pivotCache cacheId="9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 i="5" l="1" a="1"/>
  <c r="N16" i="5" a="1"/>
  <c r="P12" i="8"/>
  <c r="L16" i="8" a="1"/>
  <c r="K4" i="2"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P16" i="8" l="1"/>
  <c r="O18" i="8"/>
  <c r="P18" i="8"/>
  <c r="O20" i="8"/>
  <c r="P17" i="8"/>
  <c r="P19" i="8"/>
  <c r="O19" i="8"/>
  <c r="P20" i="8"/>
  <c r="O17" i="8"/>
  <c r="O1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FB6751-380E-47D9-9FA0-A45BE47D62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D70118-00E0-4A19-B87F-EEEA2D226631}"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
        </x15:connection>
      </ext>
    </extLst>
  </connection>
  <connection id="3" xr16:uid="{AB864FDA-016A-4BAE-9A62-5C069EE4CBC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<sst xmlns="http://schemas.openxmlformats.org/spreadsheetml/2006/main" count="3161" uniqueCount="1077">
  <si>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</si>
  <si>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</si>
  <si>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</si>
  <si>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</si>
  <si>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</si>
  <si>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</si>
  <si>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</si>
  <si>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</si>
  <si>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</si>
  <si>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</si>
  <si>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</si>
  <si>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</si>
  <si>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</si>
  <si>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</si>
  <si>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</si>
  <si>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</si>
  <si>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</si>
  <si>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</si>
  <si>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</si>
  <si>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</si>
  <si>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</si>
  <si>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</si>
  <si>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</si>
  <si>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</si>
  <si>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</si>
  <si>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</si>
  <si>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</si>
  <si>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</si>
  <si>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</si>
  <si>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</si>
  <si>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</si>
  <si>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</si>
  <si>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</si>
  <si>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</si>
  <si>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</si>
  <si>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</si>
  <si>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</si>
  <si>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</si>
  <si>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</si>
  <si>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</si>
  <si>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</si>
  <si>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</si>
  <si>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</si>
  <si>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</si>
  <si>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</si>
  <si>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</si>
  <si>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</si>
  <si>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</si>
  <si>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</si>
  <si>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</si>
  <si>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</si>
  <si>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</si>
  <si>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</si>
  <si>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</si>
  <si>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</si>
  <si>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</si>
  <si>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</si>
  <si>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</si>
  <si>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</si>
  <si>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</si>
  <si>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</si>
  <si>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</si>
  <si>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</si>
  <si>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</si>
  <si>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</si>
  <si>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</si>
  <si>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</si>
  <si>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</si>
  <si>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</si>
  <si>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</si>
  <si>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</si>
  <si>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</si>
  <si>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</si>
  <si>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</si>
  <si>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</si>
  <si>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</si>
  <si>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</si>
  <si>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</si>
  <si>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</si>
  <si>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</si>
  <si>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</si>
  <si>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</si>
  <si>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</si>
  <si>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</si>
  <si>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</si>
  <si>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</si>
  <si>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</si>
  <si>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</si>
  <si>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</si>
  <si>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</si>
  <si>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</si>
  <si>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</si>
  <si>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</si>
  <si>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</si>
  <si>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</si>
  <si>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</si>
  <si>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</si>
  <si>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</si>
  <si>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</si>
  <si>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</si>
  <si>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</si>
  <si>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</si>
  <si>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</si>
  <si>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</si>
  <si>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</si>
  <si>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</si>
  <si>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</si>
  <si>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</si>
  <si>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</si>
  <si>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</si>
  <si>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</si>
  <si>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</si>
  <si>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</si>
  <si>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</si>
  <si>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</si>
  <si>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</si>
  <si>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</si>
  <si>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</si>
  <si>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</si>
  <si>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</si>
  <si>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</si>
  <si>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</si>
  <si>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</si>
  <si>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</si>
  <si>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</si>
  <si>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</si>
  <si>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</si>
  <si>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</si>
  <si>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</si>
  <si>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</si>
  <si>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</si>
  <si>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</si>
  <si>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</si>
  <si>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</si>
  <si>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</si>
  <si>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</si>
  <si>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</si>
  <si>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</si>
  <si>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</si>
  <si>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</si>
  <si>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</si>
  <si>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</si>
  <si>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</si>
  <si>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</si>
  <si>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</si>
  <si>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</si>
  <si>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</si>
  <si>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</si>
  <si>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</si>
  <si>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</si>
  <si>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</si>
  <si>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</si>
  <si>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</si>
  <si>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</si>
  <si>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</si>
  <si>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</si>
  <si>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</si>
  <si>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</si>
  <si>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</si>
  <si>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</si>
  <si>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</si>
  <si>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</si>
  <si>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</si>
  <si>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</si>
  <si>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</si>
  <si>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</si>
  <si>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</si>
  <si>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</si>
  <si>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</si>
  <si>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</si>
  <si>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</si>
  <si>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</si>
  <si>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</si>
  <si>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</si>
  <si>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</si>
  <si>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</si>
  <si>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</si>
  <si>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</si>
  <si>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</si>
  <si>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</si>
  <si>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</si>
  <si>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</si>
  <si>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</si>
  <si>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</si>
  <si>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</si>
  <si>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</si>
  <si>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</si>
  <si>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</si>
  <si>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</si>
  <si>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</si>
  <si>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</si>
  <si>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</si>
  <si>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</si>
  <si>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</si>
  <si>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</si>
  <si>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</si>
  <si>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</si>
  <si>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</si>
  <si>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</si>
  <si>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</si>
  <si>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</si>
  <si>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</si>
  <si>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</si>
  <si>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</si>
  <si>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</si>
  <si>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</si>
  <si>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</si>
  <si>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</si>
  <si>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</si>
  <si>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</si>
  <si>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</si>
  <si>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</si>
  <si>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</si>
  <si>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</si>
  <si>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</si>
  <si>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</si>
  <si>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</si>
  <si>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</si>
  <si>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</si>
  <si>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</si>
  <si>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</si>
  <si>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</si>
  <si>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</si>
  <si>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</si>
  <si>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</si>
  <si>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</si>
  <si>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</si>
  <si>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</si>
  <si>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</si>
  <si>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</si>
  <si>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</si>
  <si>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</si>
  <si>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</si>
  <si>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</si>
  <si>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</si>
  <si>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</si>
  <si>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</si>
  <si>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</si>
  <si>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</si>
  <si>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</si>
  <si>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</si>
  <si>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</si>
  <si>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</si>
  <si>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</si>
  <si>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</si>
  <si>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</si>
  <si>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</si>
  <si>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</si>
  <si>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</si>
  <si>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</si>
  <si>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</si>
  <si>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</si>
  <si>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</si>
  <si>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</si>
  <si>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</si>
  <si>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</si>
  <si>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</si>
  <si>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</si>
  <si>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</si>
  <si>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</si>
  <si>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</si>
  <si>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</si>
  <si>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</si>
  <si>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</si>
  <si>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</si>
  <si>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</si>
  <si>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</si>
  <si>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</si>
  <si>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</si>
  <si>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</si>
  <si>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</si>
  <si>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</si>
  <si>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</si>
  <si>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</si>
  <si>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</si>
  <si>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</si>
  <si>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</si>
  <si>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</si>
  <si>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</si>
  <si>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</si>
  <si>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</si>
  <si>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</si>
  <si>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</si>
  <si>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</si>
  <si>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</si>
  <si>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</si>
  <si>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</si>
  <si>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</si>
  <si>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</si>
  <si>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</si>
  <si>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</si>
  <si>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</si>
  <si>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</si>
  <si>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</si>
  <si>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</si>
  <si>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</si>
  <si>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</si>
  <si>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</si>
  <si>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</si>
  <si>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</si>
  <si>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</si>
  <si>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</si>
  <si>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</si>
  <si>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</si>
  <si>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</si>
  <si>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</si>
  <si>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</si>
  <si>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</si>
  <si>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</si>
  <si>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</si>
  <si>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</si>
  <si>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</si>
  <si>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</si>
  <si>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</si>
  <si>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</si>
  <si>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</si>
  <si>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</si>
  <si>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</si>
  <si>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</si>
  <si>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</si>
  <si>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</si>
  <si>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</si>
  <si>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</si>
  <si>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</si>
  <si>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</si>
  <si>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</si>
  <si>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</si>
  <si>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</si>
  <si>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</si>
  <si>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</si>
  <si>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</si>
  <si>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</si>
  <si>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</si>
  <si>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</si>
  <si>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</si>
  <si>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</si>
  <si>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</si>
  <si>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</si>
  <si>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</si>
  <si>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</si>
  <si>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</si>
  <si>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</si>
  <si>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</si>
  <si>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</si>
  <si>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</si>
  <si>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</si>
  <si>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</si>
  <si>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</si>
  <si>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</si>
  <si>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</si>
  <si>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</si>
  <si>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</si>
  <si>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</si>
  <si>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</si>
  <si>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</si>
  <si>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</si>
  <si>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</si>
  <si>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</si>
  <si>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</si>
  <si>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</si>
  <si>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</si>
  <si>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</si>
  <si>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</si>
  <si>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</si>
  <si>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</si>
  <si>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</si>
  <si>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</si>
  <si>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</si>
  <si>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</si>
  <si>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</si>
  <si>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</si>
  <si>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</si>
  <si>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</si>
  <si>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</si>
  <si>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</si>
  <si>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</si>
  <si>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</si>
  <si>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</si>
  <si>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</si>
  <si>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</si>
  <si>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</si>
  <si>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</si>
  <si>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</si>
  <si>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</si>
  <si>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</si>
  <si>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</si>
  <si>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</si>
  <si>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</si>
  <si>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</si>
  <si>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</si>
  <si>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</si>
  <si>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</si>
  <si>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</si>
  <si>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</si>
  <si>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</si>
  <si>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</si>
  <si>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</si>
  <si>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</si>
  <si>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</si>
  <si>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</si>
  <si>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</si>
  <si>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</si>
  <si>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</si>
  <si>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</si>
  <si>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</si>
  <si>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</si>
  <si>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</si>
  <si>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</si>
  <si>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</si>
  <si>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</si>
  <si>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</si>
  <si>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</si>
  <si>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</si>
  <si>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</si>
  <si>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</si>
  <si>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</si>
  <si>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</si>
  <si>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</si>
  <si>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</si>
  <si>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</si>
  <si>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</si>
  <si>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</si>
  <si>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</si>
  <si>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</si>
  <si>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</si>
  <si>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</si>
  <si>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</si>
  <si>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</si>
  <si>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</si>
  <si>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</si>
  <si>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</si>
  <si>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</si>
  <si>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</si>
  <si>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</si>
  <si>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</si>
  <si>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</si>
  <si>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</si>
  <si>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</si>
  <si>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</si>
  <si>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</si>
  <si>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</si>
  <si>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</si>
  <si>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</si>
  <si>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</si>
  <si>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</si>
  <si>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</si>
  <si>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</si>
  <si>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</si>
  <si>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</si>
  <si>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</si>
  <si>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</si>
  <si>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</si>
  <si>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</si>
  <si>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</si>
  <si>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</si>
  <si>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</si>
  <si>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</si>
  <si>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</si>
  <si>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</si>
  <si>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</si>
  <si>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</si>
  <si>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</si>
  <si>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</si>
  <si>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</si>
  <si>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</si>
  <si>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</si>
  <si>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</si>
  <si>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</si>
  <si>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</si>
  <si>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</si>
  <si>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</si>
  <si>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</si>
  <si>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</si>
  <si>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</si>
  <si>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</si>
  <si>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</si>
  <si>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</si>
  <si>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</si>
  <si>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</si>
  <si>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</si>
  <si>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</si>
  <si>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</si>
  <si>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</si>
  <si>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</si>
  <si>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</si>
  <si>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</si>
  <si>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</si>
  <si>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</si>
  <si>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</si>
  <si>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</si>
  <si>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</si>
  <si>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</si>
  <si>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</si>
  <si>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</si>
  <si>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</si>
  <si>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</si>
  <si>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</si>
  <si>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</si>
  <si>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</si>
  <si>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</si>
  <si>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</si>
  <si>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</si>
  <si>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</si>
  <si>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</si>
  <si>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</si>
  <si>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</si>
  <si>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</si>
  <si>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</si>
  <si>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</si>
  <si>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</si>
  <si>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</si>
  <si>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</si>
  <si>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</si>
  <si>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</si>
  <si>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</si>
  <si>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</si>
  <si>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</si>
  <si>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</si>
  <si>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</si>
  <si>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</si>
  <si>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</si>
  <si>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</si>
  <si>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</si>
  <si>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</si>
  <si>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</si>
  <si>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</si>
  <si>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</si>
  <si>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</si>
  <si>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</si>
  <si>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</si>
  <si>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</si>
  <si>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</si>
  <si>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</si>
  <si>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</si>
  <si>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</si>
  <si>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</si>
  <si>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</si>
  <si>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</si>
  <si>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</si>
  <si>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</si>
  <si>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</si>
  <si>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</si>
  <si>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</si>
  <si>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</si>
  <si>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</si>
  <si>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</si>
  <si>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</si>
  <si>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</si>
  <si>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</si>
  <si>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</si>
  <si>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</si>
  <si>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</si>
  <si>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</si>
  <si>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</si>
  <si>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</si>
  <si>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</si>
  <si>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</si>
  <si>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</si>
  <si>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</si>
  <si>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</si>
  <si>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</si>
  <si>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</si>
  <si>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</si>
  <si>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</si>
  <si>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</si>
  <si>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</si>
  <si>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</si>
  <si>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</si>
  <si>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</si>
  <si>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</si>
  <si>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</si>
  <si>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</si>
  <si>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</si>
  <si>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</si>
  <si>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</si>
  <si>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</si>
  <si>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</si>
  <si>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</si>
  <si>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</si>
  <si>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</si>
  <si>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</si>
  <si>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</si>
  <si>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</si>
  <si>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</si>
  <si>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</si>
  <si>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</si>
  <si>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</si>
  <si>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</si>
  <si>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</si>
  <si>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</si>
  <si>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</si>
  <si>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</si>
  <si>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</si>
  <si>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</si>
  <si>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</si>
  <si>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</si>
  <si>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</si>
  <si>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</si>
  <si>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</si>
  <si>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</si>
  <si>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</si>
  <si>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</si>
  <si>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</si>
  <si>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</si>
  <si>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</si>
  <si>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</si>
  <si>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</si>
  <si>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</si>
  <si>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</si>
  <si>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</si>
  <si>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</si>
  <si>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</si>
  <si>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</si>
  <si>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</si>
  <si>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</si>
  <si>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</si>
  <si>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</si>
  <si>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</si>
  <si>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</si>
  <si>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</si>
  <si>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</si>
  <si>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</si>
  <si>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</si>
  <si>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</si>
  <si>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</si>
  <si>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</si>
  <si>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</si>
  <si>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</si>
  <si>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</si>
  <si>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</si>
  <si>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</si>
  <si>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</si>
  <si>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</si>
  <si>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</si>
  <si>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</si>
  <si>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</si>
  <si>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</si>
  <si>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</si>
  <si>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</si>
  <si>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</si>
  <si>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</si>
  <si>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</si>
  <si>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</si>
  <si>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</si>
  <si>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</si>
  <si>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</si>
  <si>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</si>
  <si>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</si>
  <si>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</si>
  <si>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</si>
  <si>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</si>
  <si>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</si>
  <si>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</si>
  <si>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</si>
  <si>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</si>
  <si>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</si>
  <si>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</si>
  <si>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</si>
  <si>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</si>
  <si>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</si>
  <si>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</si>
  <si>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</si>
  <si>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</si>
  <si>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</si>
  <si>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</si>
  <si>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</si>
  <si>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</si>
  <si>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</si>
  <si>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</si>
  <si>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</si>
  <si>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</si>
  <si>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</si>
  <si>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</si>
  <si>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</si>
  <si>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</si>
  <si>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</si>
  <si>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</si>
  <si>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</si>
  <si>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</si>
  <si>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</si>
  <si>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</si>
  <si>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</si>
  <si>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</si>
  <si>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</si>
  <si>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</si>
  <si>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</si>
  <si>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</si>
  <si>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</si>
  <si>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</si>
  <si>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</si>
  <si>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</si>
  <si>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</si>
  <si>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</si>
  <si>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</si>
  <si>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</si>
  <si>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</si>
  <si>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</si>
  <si>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</si>
  <si>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</si>
  <si>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</si>
  <si>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</si>
  <si>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</si>
  <si>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</si>
  <si>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</si>
  <si>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</si>
  <si>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</si>
  <si>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</si>
  <si>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</si>
  <si>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</si>
  <si>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</si>
  <si>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</si>
  <si>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</si>
  <si>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</si>
  <si>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</si>
  <si>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</si>
  <si>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</si>
  <si>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</si>
  <si>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</si>
  <si>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</si>
  <si>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</si>
  <si>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</si>
  <si>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</si>
  <si>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</si>
  <si>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</si>
  <si>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</si>
  <si>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</si>
  <si>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</si>
  <si>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</si>
  <si>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</si>
  <si>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</si>
  <si>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</si>
  <si>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</si>
  <si>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</si>
  <si>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</si>
  <si>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</si>
  <si>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</si>
  <si>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</si>
  <si>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</si>
  <si>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</si>
  <si>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</si>
  <si>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</si>
  <si>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</si>
  <si>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</si>
  <si>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</si>
  <si>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</si>
  <si>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</si>
  <si>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</si>
  <si>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</si>
  <si>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</si>
  <si>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</si>
  <si>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</si>
  <si>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</si>
  <si>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</si>
  <si>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</si>
  <si>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</si>
  <si>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</si>
  <si>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</si>
  <si>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</si>
  <si>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</si>
  <si>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</si>
  <si>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</si>
  <si>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</si>
  <si>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</si>
  <si>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</si>
  <si>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</si>
  <si>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</si>
  <si>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</si>
  <si>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</si>
  <si>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</si>
  <si>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</si>
  <si>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</si>
  <si>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</si>
  <si>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</si>
  <si>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</si>
  <si>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</si>
  <si>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</si>
  <si>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</si>
  <si>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</si>
  <si>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</si>
  <si>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</si>
  <si>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</si>
  <si>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</si>
  <si>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</si>
  <si>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</si>
  <si>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</si>
  <si>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</si>
  <si>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</si>
  <si>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</si>
  <si>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</si>
  <si>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</si>
  <si>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</si>
  <si>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</si>
  <si>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</si>
  <si>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</si>
  <si>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</si>
  <si>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</si>
  <si>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</si>
  <si>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</si>
  <si>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</si>
  <si>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</si>
  <si>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</si>
  <si>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</si>
  <si>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</si>
  <si>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</si>
  <si>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</si>
  <si>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</si>
  <si>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</si>
  <si>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</si>
  <si>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</si>
  <si>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</si>
  <si>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</si>
  <si>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</si>
  <si>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</si>
  <si>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</si>
  <si>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</si>
  <si>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</si>
  <si>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</si>
  <si>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</si>
  <si>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</si>
  <si>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</si>
  <si>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</si>
  <si>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</si>
  <si>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</si>
  <si>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</si>
  <si>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</si>
  <si>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</si>
  <si>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</si>
  <si>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</si>
  <si>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</si>
  <si>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</si>
  <si>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</si>
  <si>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</si>
  <si>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</si>
  <si>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</si>
  <si>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</si>
  <si>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</si>
  <si>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</si>
  <si>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</si>
  <si>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</si>
  <si>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</si>
  <si>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</si>
  <si>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</si>
  <si>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</si>
  <si>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</si>
  <si>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</si>
  <si>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</si>
  <si>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</si>
  <si>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</si>
  <si>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</si>
  <si>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</si>
  <si>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</si>
  <si>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</si>
  <si>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</si>
  <si>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</si>
  <si>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</si>
  <si>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</si>
  <si>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</si>
  <si>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</si>
  <si>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</si>
  <si>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</si>
  <si>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</si>
  <si>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</si>
  <si>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</si>
  <si>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</si>
  <si>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</si>
  <si>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</si>
  <si>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</si>
  <si>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</si>
  <si>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</si>
  <si>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</si>
  <si>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</si>
  <si>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</si>
  <si>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</si>
  <si>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</si>
  <si>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</si>
  <si>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</si>
  <si>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</si>
  <si>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</si>
  <si>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</si>
  <si>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</si>
  <si>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</si>
  <si>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</si>
  <si>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</si>
  <si>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</si>
  <si>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</si>
  <si>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</si>
  <si>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</si>
  <si>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</si>
  <si>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</si>
  <si>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</si>
  <si>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</si>
  <si>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</si>
  <si>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</si>
  <si>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</si>
  <si>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</si>
  <si>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</si>
  <si>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</si>
  <si>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</si>
  <si>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</si>
  <si>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</si>
  <si>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</si>
  <si>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</si>
  <si>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</si>
  <si>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</si>
  <si>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</si>
  <si>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</si>
  <si>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</si>
  <si>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</si>
  <si>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</si>
  <si>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</si>
  <si>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</si>
  <si>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</si>
  <si>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</si>
  <si>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</si>
  <si>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</si>
  <si>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</si>
  <si>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</si>
  <si>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</si>
  <si>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</si>
  <si>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</si>
  <si>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</si>
  <si>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</si>
  <si>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</si>
  <si>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</si>
  <si>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</si>
  <si>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</si>
  <si>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</si>
  <si>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</si>
  <si>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</si>
  <si>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</si>
  <si>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</si>
  <si>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</si>
  <si>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</si>
  <si>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</si>
  <si>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</si>
  <si>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</si>
  <si>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</si>
  <si>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</si>
  <si>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</si>
  <si>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</si>
  <si>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</si>
  <si>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</si>
  <si>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</si>
  <si>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</si>
  <si>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</si>
  <si>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</si>
  <si>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</si>
  <si>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</si>
  <si>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</si>
  <si>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</si>
  <si>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</si>
  <si>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</si>
  <si>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</si>
  <si>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</si>
  <si>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</si>
  <si>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</si>
  <si>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</si>
  <si>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</si>
  <si>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</si>
  <si>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</si>
  <si>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</si>
  <si>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</si>
  <si>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</si>
  <si>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</si>
  <si>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</si>
  <si>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</si>
  <si>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</si>
  <si>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</si>
  <si>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</si>
  <si>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</si>
  <si>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</si>
  <si>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</si>
  <si>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</si>
  <si>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</si>
  <si>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</si>
  <si>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</si>
  <si>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</si>
  <si>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</si>
  <si>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</si>
  <si>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</si>
  <si>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</si>
  <si>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</si>
  <si>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</si>
  <si>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</si>
  <si>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</si>
  <si>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</si>
  <si>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</si>
  <si>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</si>
  <si>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</si>
  <si>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</si>
  <si>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</si>
  <si>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</si>
  <si>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</si>
  <si>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</si>
  <si>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</si>
  <si>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</si>
  <si>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</si>
  <si>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</si>
  <si>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</si>
  <si>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</si>
  <si>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</si>
  <si>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</si>
  <si>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</si>
  <si>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</si>
  <si>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</si>
  <si>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</si>
  <si>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</si>
  <si>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</si>
  <si>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</si>
  <si>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</si>
  <si>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</si>
  <si>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</si>
  <si>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</si>
  <si>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</si>
  <si>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</si>
  <si>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</si>
  <si>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</si>
  <si>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</si>
  <si>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</si>
  <si>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</si>
  <si>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</si>
  <si>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</si>
  <si>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</si>
  <si>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</si>
  <si>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</si>
  <si>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</si>
  <si>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</si>
  <si>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</si>
  <si>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</si>
  <si>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</si>
  <si>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</si>
  <si>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</si>
  <si>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</si>
  <si>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</si>
  <si>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</si>
  <si>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</si>
  <si>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</si>
  <si>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</si>
  <si>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</si>
  <si>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</si>
  <si>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</si>
  <si>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</si>
  <si>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</si>
  <si>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</si>
  <si>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</si>
  <si>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</si>
  <si>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rating</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</si>
  <si>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</si>
  <si>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</si>
  <si>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</si>
  <si>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</si>
  <si>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</si>
  <si>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</si>
  <si>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</si>
  <si>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</si>
  <si>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</si>
  <si>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</si>
  <si>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</si>
  <si>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</si>
  <si>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</si>
  <si>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</si>
  <si>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</si>
  <si>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</si>
  <si>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</si>
  <si>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</si>
  <si>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</si>
  <si>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</si>
  <si>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</si>
  <si>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</si>
  <si>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</si>
  <si>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</si>
  <si>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</si>
  <si>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rep calls</t>
  </si>
  <si>
    <t>rep amount</t>
  </si>
  <si>
    <t>selected rep</t>
  </si>
  <si>
    <t>Column Labels</t>
  </si>
  <si>
    <t>Sum of Purchase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</si>
</sst>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0,&quot;k&quot;"/>
    <numFmt numFmtId="168" formatCode="[$$-C09]#,##0.00"/>
    <numFmt numFmtId="169" formatCode="_-[$$-409]* #,##0.00_ ;_-[$$-409]* \-#,##0.00\ ;_-[$$-409]* &quot;-&quot;??_ ;_-@_ "/>
  </numFmts>
  <fonts count="7" x14ac:knownFonts="1">
    <font>
      <sz val="11"/>
      <color theme="1"/>
      <name val="Franklin Gothic Book"/>
      <family val="2"/>
      <scheme val="minor"/>
    </font>
    <font>
      <b/>
      <sz val="11"/>
      <color theme="1"/>
      <name val="Franklin Gothic Book"/>
      <family val="2"/>
      <scheme val="minor"/>
    </font>
    <font>
      <sz val="8"/>
      <name val="Franklin Gothic Book"/>
      <family val="2"/>
      <scheme val="minor"/>
    </font>
    <font>
      <sz val="18"/>
      <color theme="1"/>
      <name val="Aptos ExtraBold"/>
      <family val="2"/>
    </font>
    <font>
      <sz val="11"/>
      <color theme="3"/>
      <name val="Franklin Gothic Book"/>
      <family val="2"/>
      <scheme val="minor"/>
    </font>
    <font>
      <sz val="10"/>
      <color theme="1"/>
      <name val="Franklin Gothic Book"/>
      <family val="2"/>
      <scheme val="minor"/>
    </font>
    <font>
      <sz val="10"/>
      <color theme="1"/>
      <name val="Aptos"/>
      <family val="2"/>
    </font>
  </fonts>
  <fills count="5">
    <fill>
      <patternFill patternType="none"/>
    </fill>
    <fill>
      <patternFill patternType="gray125"/>
    </fill>
    <fill>
      <patternFill patternType="solid">
        <fgColor theme="7"/>
        <bgColor indexed="64"/>
      </patternFill>
    </fill>
    <fill>
      <patternFill patternType="solid">
        <fgColor theme="0" tint="-0.34998626667073579"/>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pivotButton="1" applyNumberFormat="1"/>
    <xf numFmtId="168" fontId="0" fillId="0" borderId="0" xfId="0" applyNumberFormat="1"/>
    <xf numFmtId="168" fontId="0" fillId="0" borderId="0" xfId="0" applyNumberFormat="1" applyAlignment="1">
      <alignment horizontal="left"/>
    </xf>
    <xf numFmtId="168" fontId="0" fillId="0" borderId="0" xfId="0" applyNumberFormat="1" applyAlignment="1">
      <alignment horizontal="left" indent="1"/>
    </xf>
    <xf numFmtId="0" fontId="4" fillId="4" borderId="0" xfId="0" applyFont="1" applyFill="1"/>
    <xf numFmtId="0" fontId="0" fillId="4" borderId="0" xfId="0" applyFill="1"/>
    <xf numFmtId="0" fontId="0" fillId="3" borderId="9" xfId="0" applyFill="1" applyBorder="1"/>
    <xf numFmtId="0" fontId="0" fillId="3" borderId="10" xfId="0" applyFill="1" applyBorder="1" applyAlignment="1">
      <alignment horizontal="right"/>
    </xf>
    <xf numFmtId="0" fontId="0" fillId="3" borderId="7" xfId="0" applyFill="1" applyBorder="1"/>
    <xf numFmtId="0" fontId="5" fillId="3" borderId="11" xfId="0" applyFont="1" applyFill="1" applyBorder="1"/>
    <xf numFmtId="0" fontId="5" fillId="3" borderId="0" xfId="0" applyFont="1" applyFill="1"/>
    <xf numFmtId="0" fontId="5" fillId="3" borderId="12" xfId="0" applyFont="1" applyFill="1" applyBorder="1"/>
    <xf numFmtId="0" fontId="6" fillId="3" borderId="11" xfId="0" applyFont="1" applyFill="1" applyBorder="1"/>
    <xf numFmtId="169" fontId="6" fillId="3" borderId="0" xfId="0" applyNumberFormat="1" applyFont="1" applyFill="1"/>
    <xf numFmtId="169" fontId="6" fillId="3" borderId="12" xfId="0" applyNumberFormat="1" applyFont="1" applyFill="1" applyBorder="1"/>
    <xf numFmtId="0" fontId="6" fillId="3" borderId="6" xfId="0" applyFont="1" applyFill="1" applyBorder="1"/>
    <xf numFmtId="169" fontId="6" fillId="3" borderId="13" xfId="0" applyNumberFormat="1" applyFont="1" applyFill="1" applyBorder="1"/>
    <xf numFmtId="169" fontId="6" fillId="3" borderId="4" xfId="0" applyNumberFormat="1" applyFont="1" applyFill="1" applyBorder="1"/>
  </cellXfs>
  <cellStyles count="1">
    <cellStyle name="Normal" xfId="0" builtinId="0"/>
  </cellStyles>
  <dxfs count="40">
    <dxf>
      <fill>
        <patternFill>
          <bgColor theme="5"/>
        </patternFill>
      </fill>
      <border>
        <left style="thin">
          <color auto="1"/>
        </left>
        <right style="thin">
          <color auto="1"/>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ranklin Gothic 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8" formatCode="[$$-C09]#,##0.00"/>
    </dxf>
    <dxf>
      <numFmt numFmtId="168" formatCode="[$$-C09]#,##0.00"/>
    </dxf>
    <dxf>
      <numFmt numFmtId="168" formatCode="[$$-C09]#,##0.00"/>
    </dxf>
    <dxf>
      <numFmt numFmtId="168" formatCode="[$$-C09]#,##0.00"/>
    </dxf>
    <dxf>
      <numFmt numFmtId="168" formatCode="[$$-C09]#,##0.00"/>
    </dxf>
    <dxf>
      <numFmt numFmtId="168" formatCode="[$$-C09]#,##0.00"/>
    </dxf>
    <dxf>
      <numFmt numFmtId="168" formatCode="[$$-C09]#,##0.00"/>
    </dxf>
    <dxf>
      <numFmt numFmtId="168" formatCode="[$$-C09]#,##0.00"/>
    </dxf>
    <dxf>
      <numFmt numFmtId="168" formatCode="[$$-C09]#,##0.00"/>
    </dxf>
    <dxf>
      <numFmt numFmtId="168" formatCode="[$$-C09]#,##0.00"/>
    </dxf>
    <dxf>
      <numFmt numFmtId="168" formatCode="[$$-C09]#,##0.00"/>
    </dxf>
    <dxf>
      <numFmt numFmtId="168" formatCode="[$$-C09]#,##0.00"/>
    </dxf>
    <dxf>
      <font>
        <b/>
        <color theme="1"/>
      </font>
      <fill>
        <patternFill>
          <bgColor theme="0" tint="-0.34998626667073579"/>
        </patternFill>
      </fill>
      <border>
        <bottom style="thin">
          <color theme="7"/>
        </bottom>
        <vertical/>
        <horizontal/>
      </border>
    </dxf>
    <dxf>
      <font>
        <color theme="1"/>
      </font>
      <fill>
        <patternFill patternType="solid">
          <bgColor theme="0" tint="-0.34998626667073579"/>
        </patternFill>
      </fill>
      <border>
        <vertical/>
        <horizontal/>
      </border>
    </dxf>
    <dxf>
      <font>
        <b/>
        <color theme="1"/>
      </font>
      <fill>
        <patternFill>
          <bgColor theme="4"/>
        </patternFill>
      </fill>
      <border>
        <bottom style="thin">
          <color theme="7"/>
        </bottom>
        <vertical/>
        <horizontal/>
      </border>
    </dxf>
    <dxf>
      <font>
        <color theme="1"/>
      </font>
      <fill>
        <patternFill patternType="solid">
          <bgColor theme="0" tint="-0.34998626667073579"/>
        </patternFill>
      </fill>
      <border>
        <vertical/>
        <horizontal/>
      </border>
    </dxf>
    <dxf>
      <font>
        <b/>
        <color theme="1"/>
      </font>
      <border>
        <bottom style="thin">
          <color theme="7"/>
        </bottom>
        <vertical/>
        <horizontal/>
      </border>
    </dxf>
    <dxf>
      <font>
        <color theme="1"/>
      </font>
      <border>
        <vertical/>
        <horizontal/>
      </border>
    </dxf>
    <dxf>
      <font>
        <b/>
        <color theme="1"/>
      </font>
      <border>
        <bottom style="thin">
          <color theme="7"/>
        </bottom>
        <vertical/>
        <horizontal/>
      </border>
    </dxf>
    <dxf>
      <font>
        <color theme="1"/>
      </font>
      <border>
        <left/>
        <right/>
        <top/>
        <bottom/>
        <vertical/>
        <horizontal/>
      </border>
    </dxf>
    <dxf>
      <font>
        <b/>
        <color theme="1"/>
      </font>
      <border>
        <bottom style="thin">
          <color theme="7"/>
        </bottom>
        <vertical/>
        <horizontal/>
      </border>
    </dxf>
    <dxf>
      <font>
        <color theme="1"/>
      </font>
      <border diagonalUp="0" diagonalDown="0">
        <left/>
        <right/>
        <top/>
        <bottom/>
        <vertical/>
        <horizontal/>
      </border>
    </dxf>
    <dxf>
      <font>
        <b/>
        <color theme="1"/>
      </font>
      <border>
        <bottom style="thin">
          <color theme="7"/>
        </bottom>
        <vertical/>
        <horizontal/>
      </border>
    </dxf>
    <dxf>
      <font>
        <color theme="0" tint="-0.34998626667073579"/>
      </font>
      <border>
        <left style="thin">
          <color theme="7"/>
        </left>
        <right style="thin">
          <color theme="7"/>
        </right>
        <top style="thin">
          <color theme="7"/>
        </top>
        <bottom style="thin">
          <color theme="7"/>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7" defaultTableStyle="TableStyleMedium2" defaultPivotStyle="PivotStyleLight16">
    <tableStyle name="Slicer Style 1" pivot="0" table="0" count="1" xr9:uid="{25BABDA2-DB3D-41F6-98D0-3EE7CBB0176F}">
      <tableStyleElement type="wholeTable" dxfId="39"/>
    </tableStyle>
    <tableStyle name="SlicerStyleDark4 2" pivot="0" table="0" count="10" xr9:uid="{D57EDC9E-2E3A-48C5-8788-DA9C1D63F2CA}">
      <tableStyleElement type="wholeTable" dxfId="38"/>
      <tableStyleElement type="headerRow" dxfId="37"/>
    </tableStyle>
    <tableStyle name="SlicerStyleDark4 3" pivot="0" table="0" count="10" xr9:uid="{AD88BE61-78A6-4532-9933-2C0FCFC38CDA}">
      <tableStyleElement type="wholeTable" dxfId="36"/>
      <tableStyleElement type="headerRow" dxfId="35"/>
    </tableStyle>
    <tableStyle name="SlicerStyleDark4 4" pivot="0" table="0" count="10" xr9:uid="{55F89AEC-F5F9-40E1-8B9A-3003035F148C}">
      <tableStyleElement type="wholeTable" dxfId="34"/>
      <tableStyleElement type="headerRow" dxfId="33"/>
    </tableStyle>
    <tableStyle name="SlicerStyleDark4 5" pivot="0" table="0" count="10" xr9:uid="{944D58E3-86D2-417C-9728-BE0342F7F4C2}">
      <tableStyleElement type="wholeTable" dxfId="32"/>
      <tableStyleElement type="headerRow" dxfId="31"/>
    </tableStyle>
    <tableStyle name="SlicerStyleDark4 5 2" pivot="0" table="0" count="10" xr9:uid="{24D0C17E-1094-435C-9E1F-F0C162A8BBD8}">
      <tableStyleElement type="wholeTable" dxfId="30"/>
      <tableStyleElement type="headerRow" dxfId="29"/>
    </tableStyle>
    <tableStyle name="SlicerStyleDark4 5 2 2" pivot="0" table="0" count="10" xr9:uid="{C60F0517-2A17-4715-9E35-2A6A9F3CA1B3}">
      <tableStyleElement type="wholeTable" dxfId="28"/>
      <tableStyleElement type="headerRow" dxfId="27"/>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tint="-0.34998626667073579"/>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4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5">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PRACTICE.xlsx]pivots!month trend pivot</c:name>
    <c:fmtId val="1"/>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pivots!$C$14</c:f>
              <c:strCache>
                <c:ptCount val="1"/>
                <c:pt idx="0">
                  <c:v>call count2</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2-546D-466C-97D0-892DF44EF2D1}"/>
            </c:ext>
          </c:extLst>
        </c:ser>
        <c:dLbls>
          <c:showLegendKey val="0"/>
          <c:showVal val="0"/>
          <c:showCatName val="0"/>
          <c:showSerName val="0"/>
          <c:showPercent val="0"/>
          <c:showBubbleSize val="0"/>
        </c:dLbls>
        <c:axId val="717061839"/>
        <c:axId val="717062319"/>
      </c:areaChart>
      <c:lineChart>
        <c:grouping val="standard"/>
        <c:varyColors val="0"/>
        <c:ser>
          <c:idx val="0"/>
          <c:order val="0"/>
          <c:tx>
            <c:strRef>
              <c:f>pivots!$B$14</c:f>
              <c:strCache>
                <c:ptCount val="1"/>
                <c:pt idx="0">
                  <c:v>call count</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546D-466C-97D0-892DF44EF2D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51975311"/>
        <c:axId val="651979151"/>
      </c:lineChart>
      <c:catAx>
        <c:axId val="6519753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51979151"/>
        <c:crosses val="autoZero"/>
        <c:auto val="1"/>
        <c:lblAlgn val="ctr"/>
        <c:lblOffset val="100"/>
        <c:noMultiLvlLbl val="0"/>
      </c:catAx>
      <c:valAx>
        <c:axId val="6519791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51975311"/>
        <c:crosses val="autoZero"/>
        <c:crossBetween val="between"/>
      </c:valAx>
      <c:valAx>
        <c:axId val="7170623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17061839"/>
        <c:crosses val="max"/>
        <c:crossBetween val="between"/>
      </c:valAx>
      <c:catAx>
        <c:axId val="717061839"/>
        <c:scaling>
          <c:orientation val="minMax"/>
        </c:scaling>
        <c:delete val="1"/>
        <c:axPos val="b"/>
        <c:numFmt formatCode="General" sourceLinked="1"/>
        <c:majorTickMark val="out"/>
        <c:minorTickMark val="none"/>
        <c:tickLblPos val="nextTo"/>
        <c:crossAx val="717062319"/>
        <c:crosses val="autoZero"/>
        <c:auto val="1"/>
        <c:lblAlgn val="ctr"/>
        <c:lblOffset val="100"/>
        <c:noMultiLvlLbl val="0"/>
      </c:cat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PRACTICE.xlsx]pivots!week analysis</c:name>
    <c:fmtId val="1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b="1"/>
              <a:t>Weekly</a:t>
            </a:r>
            <a:r>
              <a:rPr lang="en-IN" b="1" baseline="0"/>
              <a:t> Trend</a:t>
            </a:r>
            <a:endParaRPr lang="en-IN" b="1"/>
          </a:p>
        </c:rich>
      </c:tx>
      <c:layout>
        <c:manualLayout>
          <c:xMode val="edge"/>
          <c:yMode val="edge"/>
          <c:x val="6.5361583091587225E-2"/>
          <c:y val="3.9817974971558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pivots!$E$17:$E$24</c:f>
              <c:strCache>
                <c:ptCount val="7"/>
                <c:pt idx="0">
                  <c:v>Monday</c:v>
                </c:pt>
                <c:pt idx="1">
                  <c:v>Tuesday</c:v>
                </c:pt>
                <c:pt idx="2">
                  <c:v>Wednesday</c:v>
                </c:pt>
                <c:pt idx="3">
                  <c:v>Thursday</c:v>
                </c:pt>
                <c:pt idx="4">
                  <c:v>Friday</c:v>
                </c:pt>
                <c:pt idx="5">
                  <c:v>Saturday</c:v>
                </c:pt>
                <c:pt idx="6">
                  <c:v>Sunday</c:v>
                </c:pt>
              </c:strCache>
            </c:strRef>
          </c:cat>
          <c:val>
            <c:numRef>
              <c:f>pivots!$F$17:$F$24</c:f>
              <c:numCache>
                <c:formatCode>#,##0</c:formatCode>
                <c:ptCount val="7"/>
                <c:pt idx="0">
                  <c:v>34</c:v>
                </c:pt>
                <c:pt idx="1">
                  <c:v>26</c:v>
                </c:pt>
                <c:pt idx="2">
                  <c:v>38</c:v>
                </c:pt>
                <c:pt idx="3">
                  <c:v>27</c:v>
                </c:pt>
                <c:pt idx="4">
                  <c:v>27</c:v>
                </c:pt>
                <c:pt idx="5">
                  <c:v>25</c:v>
                </c:pt>
                <c:pt idx="6">
                  <c:v>30</c:v>
                </c:pt>
              </c:numCache>
            </c:numRef>
          </c:val>
          <c:extLst>
            <c:ext xmlns:c16="http://schemas.microsoft.com/office/drawing/2014/chart" uri="{C3380CC4-5D6E-409C-BE32-E72D297353CC}">
              <c16:uniqueId val="{00000000-A01A-4310-8E7B-2BA21924AB47}"/>
            </c:ext>
          </c:extLst>
        </c:ser>
        <c:dLbls>
          <c:dLblPos val="outEnd"/>
          <c:showLegendKey val="0"/>
          <c:showVal val="1"/>
          <c:showCatName val="0"/>
          <c:showSerName val="0"/>
          <c:showPercent val="0"/>
          <c:showBubbleSize val="0"/>
        </c:dLbls>
        <c:gapWidth val="182"/>
        <c:axId val="1223645103"/>
        <c:axId val="1223644143"/>
      </c:barChart>
      <c:catAx>
        <c:axId val="12236451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23644143"/>
        <c:crosses val="autoZero"/>
        <c:auto val="1"/>
        <c:lblAlgn val="ctr"/>
        <c:lblOffset val="100"/>
        <c:noMultiLvlLbl val="0"/>
      </c:catAx>
      <c:valAx>
        <c:axId val="1223644143"/>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23645103"/>
        <c:crosses val="autoZero"/>
        <c:crossBetween val="between"/>
      </c:valAx>
      <c:spPr>
        <a:solidFill>
          <a:schemeClr val="bg1">
            <a:lumMod val="6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PRACTICE.xlsx]pivots!month trend pivot</c:name>
    <c:fmtId val="7"/>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Trend</a:t>
            </a:r>
            <a:endParaRPr lang="en-IN"/>
          </a:p>
        </c:rich>
      </c:tx>
      <c:layout>
        <c:manualLayout>
          <c:xMode val="edge"/>
          <c:yMode val="edge"/>
          <c:x val="3.811789151356082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alpha val="75000"/>
                  <a:lumMod val="61000"/>
                  <a:lumOff val="39000"/>
                </a:schemeClr>
              </a:gs>
              <a:gs pos="67000">
                <a:schemeClr val="accent1">
                  <a:lumMod val="45000"/>
                  <a:lumOff val="55000"/>
                </a:schemeClr>
              </a:gs>
              <a:gs pos="6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9050">
              <a:solidFill>
                <a:schemeClr val="bg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9050">
              <a:solidFill>
                <a:schemeClr val="bg2"/>
              </a:solidFill>
              <a:round/>
            </a:ln>
            <a:effectLst>
              <a:outerShdw blurRad="57150" dist="19050" dir="5400000" algn="ctr" rotWithShape="0">
                <a:srgbClr val="000000">
                  <a:alpha val="63000"/>
                </a:srgbClr>
              </a:outerShdw>
            </a:effectLst>
          </c:spPr>
        </c:marker>
      </c:pivotFmt>
    </c:pivotFmts>
    <c:plotArea>
      <c:layout/>
      <c:areaChart>
        <c:grouping val="stacked"/>
        <c:varyColors val="0"/>
        <c:ser>
          <c:idx val="1"/>
          <c:order val="1"/>
          <c:tx>
            <c:strRef>
              <c:f>pivots!$C$14</c:f>
              <c:strCache>
                <c:ptCount val="1"/>
                <c:pt idx="0">
                  <c:v>call count2</c:v>
                </c:pt>
              </c:strCache>
            </c:strRef>
          </c:tx>
          <c:spPr>
            <a:gradFill rotWithShape="1">
              <a:gsLst>
                <a:gs pos="0">
                  <a:schemeClr val="accent1">
                    <a:alpha val="75000"/>
                    <a:lumMod val="61000"/>
                    <a:lumOff val="39000"/>
                  </a:schemeClr>
                </a:gs>
                <a:gs pos="67000">
                  <a:schemeClr val="accent1">
                    <a:lumMod val="45000"/>
                    <a:lumOff val="55000"/>
                  </a:schemeClr>
                </a:gs>
                <a:gs pos="6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1484-424E-A794-B0297216DE46}"/>
            </c:ext>
          </c:extLst>
        </c:ser>
        <c:dLbls>
          <c:showLegendKey val="0"/>
          <c:showVal val="0"/>
          <c:showCatName val="0"/>
          <c:showSerName val="0"/>
          <c:showPercent val="0"/>
          <c:showBubbleSize val="0"/>
        </c:dLbls>
        <c:axId val="717061839"/>
        <c:axId val="717062319"/>
      </c:areaChart>
      <c:lineChart>
        <c:grouping val="standard"/>
        <c:varyColors val="0"/>
        <c:ser>
          <c:idx val="0"/>
          <c:order val="0"/>
          <c:tx>
            <c:strRef>
              <c:f>pivots!$B$14</c:f>
              <c:strCache>
                <c:ptCount val="1"/>
                <c:pt idx="0">
                  <c:v>call 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19050">
                <a:solidFill>
                  <a:schemeClr val="bg2"/>
                </a:solidFill>
                <a:round/>
              </a:ln>
              <a:effectLst>
                <a:outerShdw blurRad="57150" dist="19050" dir="5400000" algn="ctr" rotWithShape="0">
                  <a:srgbClr val="000000">
                    <a:alpha val="63000"/>
                  </a:srgbClr>
                </a:outerShdw>
              </a:effectLst>
            </c:spPr>
          </c:marke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1484-424E-A794-B0297216DE46}"/>
            </c:ext>
          </c:extLst>
        </c:ser>
        <c:dLbls>
          <c:showLegendKey val="0"/>
          <c:showVal val="0"/>
          <c:showCatName val="0"/>
          <c:showSerName val="0"/>
          <c:showPercent val="0"/>
          <c:showBubbleSize val="0"/>
        </c:dLbls>
        <c:dropLines>
          <c:spPr>
            <a:ln w="9525" cap="flat" cmpd="sng" algn="ctr">
              <a:solidFill>
                <a:schemeClr val="lt1"/>
              </a:solidFill>
              <a:round/>
            </a:ln>
            <a:effectLst/>
          </c:spPr>
        </c:dropLines>
        <c:marker val="1"/>
        <c:smooth val="0"/>
        <c:axId val="651975311"/>
        <c:axId val="651979151"/>
      </c:lineChart>
      <c:catAx>
        <c:axId val="651975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979151"/>
        <c:crosses val="autoZero"/>
        <c:auto val="1"/>
        <c:lblAlgn val="ctr"/>
        <c:lblOffset val="100"/>
        <c:noMultiLvlLbl val="0"/>
      </c:catAx>
      <c:valAx>
        <c:axId val="65197915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975311"/>
        <c:crosses val="autoZero"/>
        <c:crossBetween val="between"/>
      </c:valAx>
      <c:valAx>
        <c:axId val="71706231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7061839"/>
        <c:crosses val="max"/>
        <c:crossBetween val="between"/>
      </c:valAx>
      <c:catAx>
        <c:axId val="717061839"/>
        <c:scaling>
          <c:orientation val="minMax"/>
        </c:scaling>
        <c:delete val="1"/>
        <c:axPos val="b"/>
        <c:numFmt formatCode="General" sourceLinked="1"/>
        <c:majorTickMark val="none"/>
        <c:minorTickMark val="none"/>
        <c:tickLblPos val="nextTo"/>
        <c:crossAx val="717062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a:noFill/>
    </a:ln>
    <a:effectLst>
      <a:outerShdw blurRad="431800" dist="50800" dir="5400000" algn="ctr" rotWithShape="0">
        <a:srgbClr val="000000">
          <a:alpha val="38000"/>
        </a:srgb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Calls</a:t>
            </a:r>
          </a:p>
        </c:rich>
      </c:tx>
      <c:layout>
        <c:manualLayout>
          <c:xMode val="edge"/>
          <c:yMode val="edge"/>
          <c:x val="5.1889895342029584E-2"/>
          <c:y val="3.68033648790746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pivots!$L$16:$L$20</c:f>
              <c:strCache>
                <c:ptCount val="5"/>
                <c:pt idx="0">
                  <c:v>R01</c:v>
                </c:pt>
                <c:pt idx="1">
                  <c:v>R02</c:v>
                </c:pt>
                <c:pt idx="2">
                  <c:v>R03</c:v>
                </c:pt>
                <c:pt idx="3">
                  <c:v>R04</c:v>
                </c:pt>
                <c:pt idx="4">
                  <c:v>R05</c:v>
                </c:pt>
              </c:strCache>
            </c:strRef>
          </c:cat>
          <c:val>
            <c:numRef>
              <c:f>pivots!$M$16:$M$20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E13-4144-8DE8-E890FAD1FE75}"/>
            </c:ext>
          </c:extLst>
        </c:ser>
        <c:ser>
          <c:idx val="2"/>
          <c:order val="2"/>
          <c:tx>
            <c:strRef>
              <c:f>pivots!$O$15</c:f>
              <c:strCache>
                <c:ptCount val="1"/>
                <c:pt idx="0">
                  <c:v>rep calls</c:v>
                </c:pt>
              </c:strCache>
            </c:strRef>
          </c:tx>
          <c:spPr>
            <a:gradFill rotWithShape="1">
              <a:gsLst>
                <a:gs pos="0">
                  <a:schemeClr val="accent1">
                    <a:lumMod val="5000"/>
                    <a:lumOff val="95000"/>
                  </a:schemeClr>
                </a:gs>
                <a:gs pos="91000">
                  <a:schemeClr val="accent2"/>
                </a:gs>
                <a:gs pos="91000">
                  <a:schemeClr val="accent1">
                    <a:lumMod val="45000"/>
                    <a:lumOff val="55000"/>
                  </a:schemeClr>
                </a:gs>
                <a:gs pos="54000">
                  <a:schemeClr val="accent2"/>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pivots!$O$16:$O$20</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CE13-4144-8DE8-E890FAD1FE75}"/>
            </c:ext>
          </c:extLst>
        </c:ser>
        <c:dLbls>
          <c:dLblPos val="outEnd"/>
          <c:showLegendKey val="0"/>
          <c:showVal val="1"/>
          <c:showCatName val="0"/>
          <c:showSerName val="0"/>
          <c:showPercent val="0"/>
          <c:showBubbleSize val="0"/>
        </c:dLbls>
        <c:gapWidth val="25"/>
        <c:overlap val="100"/>
        <c:axId val="554880639"/>
        <c:axId val="554889279"/>
        <c:extLst>
          <c:ext xmlns:c15="http://schemas.microsoft.com/office/drawing/2012/chart" uri="{02D57815-91ED-43cb-92C2-25804820EDAC}">
            <c15:filteredBarSeries>
              <c15:ser>
                <c:idx val="1"/>
                <c:order val="1"/>
                <c:tx>
                  <c:strRef>
                    <c:extLst>
                      <c:ext uri="{02D57815-91ED-43cb-92C2-25804820EDAC}">
                        <c15:formulaRef>
                          <c15:sqref>pivots!$O$15:$O$20</c15:sqref>
                        </c15:formulaRef>
                      </c:ext>
                    </c:extLst>
                    <c:strCache>
                      <c:ptCount val="6"/>
                      <c:pt idx="0">
                        <c:v>rep calls</c:v>
                      </c:pt>
                      <c:pt idx="1">
                        <c:v>#N/A</c:v>
                      </c:pt>
                      <c:pt idx="2">
                        <c:v>#N/A</c:v>
                      </c:pt>
                      <c:pt idx="3">
                        <c:v>207</c:v>
                      </c:pt>
                      <c:pt idx="4">
                        <c:v>#N/A</c:v>
                      </c:pt>
                      <c:pt idx="5">
                        <c:v>#N/A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6="http://schemas.microsoft.com/office/drawing/2014/chart" uri="{C3380CC4-5D6E-409C-BE32-E72D297353CC}">
                    <c16:uniqueId val="{00000002-CE13-4144-8DE8-E890FAD1FE75}"/>
                  </c:ext>
                </c:extLst>
              </c15:ser>
            </c15:filteredBarSeries>
          </c:ext>
        </c:extLst>
      </c:barChart>
      <c:catAx>
        <c:axId val="554880639"/>
        <c:scaling>
          <c:orientation val="maxMin"/>
        </c:scaling>
        <c:delete val="1"/>
        <c:axPos val="l"/>
        <c:numFmt formatCode="General" sourceLinked="1"/>
        <c:majorTickMark val="none"/>
        <c:minorTickMark val="none"/>
        <c:tickLblPos val="nextTo"/>
        <c:crossAx val="554889279"/>
        <c:crosses val="autoZero"/>
        <c:auto val="1"/>
        <c:lblAlgn val="ctr"/>
        <c:lblOffset val="100"/>
        <c:noMultiLvlLbl val="0"/>
      </c:catAx>
      <c:valAx>
        <c:axId val="554889279"/>
        <c:scaling>
          <c:orientation val="minMax"/>
          <c:min val="0"/>
        </c:scaling>
        <c:delete val="1"/>
        <c:axPos val="t"/>
        <c:numFmt formatCode="General" sourceLinked="1"/>
        <c:majorTickMark val="none"/>
        <c:minorTickMark val="none"/>
        <c:tickLblPos val="nextTo"/>
        <c:crossAx val="55488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solidFill>
                  <a:schemeClr val="tx1"/>
                </a:solidFill>
              </a:rPr>
              <a:t>Amount</a:t>
            </a:r>
          </a:p>
        </c:rich>
      </c:tx>
      <c:layout>
        <c:manualLayout>
          <c:xMode val="edge"/>
          <c:yMode val="edge"/>
          <c:x val="9.3211906204032163E-2"/>
          <c:y val="1.572327044025157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9.840988626421697E-2"/>
          <c:y val="0.11206036745406824"/>
          <c:w val="0.84620122484689408"/>
          <c:h val="0.84627296587926504"/>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pivots!$L$16:$L$20</c:f>
              <c:strCache>
                <c:ptCount val="5"/>
                <c:pt idx="0">
                  <c:v>R01</c:v>
                </c:pt>
                <c:pt idx="1">
                  <c:v>R02</c:v>
                </c:pt>
                <c:pt idx="2">
                  <c:v>R03</c:v>
                </c:pt>
                <c:pt idx="3">
                  <c:v>R04</c:v>
                </c:pt>
                <c:pt idx="4">
                  <c:v>R05</c:v>
                </c:pt>
              </c:strCache>
            </c:strRef>
          </c:cat>
          <c:val>
            <c:numRef>
              <c:f>pivots!$N$16:$N$20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DAB-4BF7-AF38-6FA289AA46F6}"/>
            </c:ext>
          </c:extLst>
        </c:ser>
        <c:ser>
          <c:idx val="1"/>
          <c:order val="1"/>
          <c:tx>
            <c:strRef>
              <c:f>pivots!$P$15</c:f>
              <c:strCache>
                <c:ptCount val="1"/>
                <c:pt idx="0">
                  <c:v>rep amount</c:v>
                </c:pt>
              </c:strCache>
            </c:strRef>
          </c:tx>
          <c:spPr>
            <a:gradFill rotWithShape="1">
              <a:gsLst>
                <a:gs pos="0">
                  <a:schemeClr val="accent1">
                    <a:lumMod val="5000"/>
                    <a:lumOff val="95000"/>
                  </a:schemeClr>
                </a:gs>
                <a:gs pos="91000">
                  <a:schemeClr val="accent2"/>
                </a:gs>
                <a:gs pos="91000">
                  <a:schemeClr val="accent1">
                    <a:lumMod val="45000"/>
                    <a:lumOff val="55000"/>
                  </a:schemeClr>
                </a:gs>
                <a:gs pos="54000">
                  <a:schemeClr val="accent2"/>
                </a:gs>
              </a:gsLst>
              <a:lin ang="5400000" scaled="1"/>
            </a:gradFill>
            <a:ln>
              <a:noFill/>
            </a:ln>
            <a:effectLst>
              <a:outerShdw blurRad="57150" dist="19050" dir="5400000" algn="ctr" rotWithShape="0">
                <a:srgbClr val="000000">
                  <a:alpha val="63000"/>
                </a:srgbClr>
              </a:outerShdw>
            </a:effectLst>
          </c:spPr>
          <c:invertIfNegative val="0"/>
          <c:dLbls>
            <c:delete val="1"/>
          </c:dLbls>
          <c:val>
            <c:numRef>
              <c:f>pivots!$P$16:$P$20</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CDAB-4BF7-AF38-6FA289AA46F6}"/>
            </c:ext>
          </c:extLst>
        </c:ser>
        <c:dLbls>
          <c:dLblPos val="outEnd"/>
          <c:showLegendKey val="0"/>
          <c:showVal val="1"/>
          <c:showCatName val="0"/>
          <c:showSerName val="0"/>
          <c:showPercent val="0"/>
          <c:showBubbleSize val="0"/>
        </c:dLbls>
        <c:gapWidth val="25"/>
        <c:overlap val="100"/>
        <c:axId val="554880639"/>
        <c:axId val="554889279"/>
      </c:barChart>
      <c:catAx>
        <c:axId val="554880639"/>
        <c:scaling>
          <c:orientation val="maxMin"/>
        </c:scaling>
        <c:delete val="1"/>
        <c:axPos val="l"/>
        <c:numFmt formatCode="General" sourceLinked="1"/>
        <c:majorTickMark val="none"/>
        <c:minorTickMark val="none"/>
        <c:tickLblPos val="nextTo"/>
        <c:crossAx val="554889279"/>
        <c:crosses val="autoZero"/>
        <c:auto val="1"/>
        <c:lblAlgn val="ctr"/>
        <c:lblOffset val="100"/>
        <c:noMultiLvlLbl val="0"/>
      </c:catAx>
      <c:valAx>
        <c:axId val="554889279"/>
        <c:scaling>
          <c:orientation val="minMax"/>
        </c:scaling>
        <c:delete val="1"/>
        <c:axPos val="t"/>
        <c:numFmt formatCode="\$#,###.0,&quot;k&quot;" sourceLinked="1"/>
        <c:majorTickMark val="none"/>
        <c:minorTickMark val="none"/>
        <c:tickLblPos val="nextTo"/>
        <c:crossAx val="55488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PRACTICE.xlsx]pivots!PivotTable1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a:outerShdw blurRad="50800" dist="50800" dir="5400000" algn="ctr" rotWithShape="0">
                <a:schemeClr val="bg2">
                  <a:lumMod val="50000"/>
                  <a:alpha val="37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a:outerShdw blurRad="50800" dist="50800" dir="5400000" algn="ctr" rotWithShape="0">
                <a:schemeClr val="bg2">
                  <a:lumMod val="50000"/>
                  <a:alpha val="38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pivots!$T$15:$T$16</c:f>
              <c:strCache>
                <c:ptCount val="1"/>
                <c:pt idx="0">
                  <c:v>Female</c:v>
                </c:pt>
              </c:strCache>
            </c:strRef>
          </c:tx>
          <c:spPr>
            <a:solidFill>
              <a:schemeClr val="accent1"/>
            </a:solidFill>
            <a:ln>
              <a:noFill/>
            </a:ln>
            <a:effectLst/>
          </c:spPr>
          <c:invertIfNegative val="0"/>
          <c:dLbls>
            <c:spPr>
              <a:noFill/>
              <a:ln>
                <a:noFill/>
              </a:ln>
              <a:effectLst>
                <a:outerShdw blurRad="50800" dist="50800" dir="5400000" algn="ctr" rotWithShape="0">
                  <a:schemeClr val="bg2">
                    <a:lumMod val="50000"/>
                    <a:alpha val="37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pivots!$S$17:$S$20</c:f>
              <c:strCache>
                <c:ptCount val="3"/>
                <c:pt idx="0">
                  <c:v>Cincinnati</c:v>
                </c:pt>
                <c:pt idx="1">
                  <c:v>Cleveland</c:v>
                </c:pt>
                <c:pt idx="2">
                  <c:v>Columbus</c:v>
                </c:pt>
              </c:strCache>
            </c:strRef>
          </c:cat>
          <c:val>
            <c:numRef>
              <c:f>pivots!$T$17:$T$20</c:f>
              <c:numCache>
                <c:formatCode>#,##0</c:formatCode>
                <c:ptCount val="3"/>
                <c:pt idx="0">
                  <c:v>144</c:v>
                </c:pt>
                <c:pt idx="1">
                  <c:v>326</c:v>
                </c:pt>
                <c:pt idx="2">
                  <c:v>129</c:v>
                </c:pt>
              </c:numCache>
            </c:numRef>
          </c:val>
          <c:extLst>
            <c:ext xmlns:c16="http://schemas.microsoft.com/office/drawing/2014/chart" uri="{C3380CC4-5D6E-409C-BE32-E72D297353CC}">
              <c16:uniqueId val="{00000000-9142-47D5-AC08-25287C911965}"/>
            </c:ext>
          </c:extLst>
        </c:ser>
        <c:ser>
          <c:idx val="1"/>
          <c:order val="1"/>
          <c:tx>
            <c:strRef>
              <c:f>pivots!$U$15:$U$16</c:f>
              <c:strCache>
                <c:ptCount val="1"/>
                <c:pt idx="0">
                  <c:v>Male</c:v>
                </c:pt>
              </c:strCache>
            </c:strRef>
          </c:tx>
          <c:spPr>
            <a:solidFill>
              <a:schemeClr val="accent2">
                <a:lumMod val="75000"/>
              </a:schemeClr>
            </a:solidFill>
            <a:ln>
              <a:noFill/>
            </a:ln>
            <a:effectLst/>
          </c:spPr>
          <c:invertIfNegative val="0"/>
          <c:dLbls>
            <c:spPr>
              <a:noFill/>
              <a:ln>
                <a:noFill/>
              </a:ln>
              <a:effectLst>
                <a:outerShdw blurRad="50800" dist="50800" dir="5400000" algn="ctr" rotWithShape="0">
                  <a:schemeClr val="bg2">
                    <a:lumMod val="50000"/>
                    <a:alpha val="38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pivots!$S$17:$S$20</c:f>
              <c:strCache>
                <c:ptCount val="3"/>
                <c:pt idx="0">
                  <c:v>Cincinnati</c:v>
                </c:pt>
                <c:pt idx="1">
                  <c:v>Cleveland</c:v>
                </c:pt>
                <c:pt idx="2">
                  <c:v>Columbus</c:v>
                </c:pt>
              </c:strCache>
            </c:strRef>
          </c:cat>
          <c:val>
            <c:numRef>
              <c:f>pivots!$U$17:$U$20</c:f>
              <c:numCache>
                <c:formatCode>#,##0</c:formatCode>
                <c:ptCount val="3"/>
                <c:pt idx="0">
                  <c:v>132</c:v>
                </c:pt>
                <c:pt idx="1">
                  <c:v>63</c:v>
                </c:pt>
                <c:pt idx="2">
                  <c:v>206</c:v>
                </c:pt>
              </c:numCache>
            </c:numRef>
          </c:val>
          <c:extLst>
            <c:ext xmlns:c16="http://schemas.microsoft.com/office/drawing/2014/chart" uri="{C3380CC4-5D6E-409C-BE32-E72D297353CC}">
              <c16:uniqueId val="{00000001-9142-47D5-AC08-25287C911965}"/>
            </c:ext>
          </c:extLst>
        </c:ser>
        <c:dLbls>
          <c:dLblPos val="ctr"/>
          <c:showLegendKey val="0"/>
          <c:showVal val="1"/>
          <c:showCatName val="0"/>
          <c:showSerName val="0"/>
          <c:showPercent val="0"/>
          <c:showBubbleSize val="0"/>
        </c:dLbls>
        <c:gapWidth val="150"/>
        <c:overlap val="100"/>
        <c:axId val="1060611984"/>
        <c:axId val="1060612464"/>
      </c:barChart>
      <c:catAx>
        <c:axId val="1060611984"/>
        <c:scaling>
          <c:orientation val="minMax"/>
        </c:scaling>
        <c:delete val="1"/>
        <c:axPos val="b"/>
        <c:numFmt formatCode="General" sourceLinked="1"/>
        <c:majorTickMark val="none"/>
        <c:minorTickMark val="none"/>
        <c:tickLblPos val="nextTo"/>
        <c:crossAx val="1060612464"/>
        <c:crosses val="autoZero"/>
        <c:auto val="1"/>
        <c:lblAlgn val="ctr"/>
        <c:lblOffset val="100"/>
        <c:noMultiLvlLbl val="0"/>
      </c:catAx>
      <c:valAx>
        <c:axId val="1060612464"/>
        <c:scaling>
          <c:orientation val="minMax"/>
        </c:scaling>
        <c:delete val="1"/>
        <c:axPos val="l"/>
        <c:numFmt formatCode="0%" sourceLinked="1"/>
        <c:majorTickMark val="none"/>
        <c:minorTickMark val="none"/>
        <c:tickLblPos val="nextTo"/>
        <c:crossAx val="106061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PRACTICE.xlsx]pivots!satisfaction chart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pivots!$K$28</c:f>
              <c:strCache>
                <c:ptCount val="1"/>
                <c:pt idx="0">
                  <c:v>Total</c:v>
                </c:pt>
              </c:strCache>
            </c:strRef>
          </c:tx>
          <c:spPr>
            <a:solidFill>
              <a:schemeClr val="accent1"/>
            </a:solidFill>
            <a:ln>
              <a:noFill/>
            </a:ln>
            <a:effectLst/>
          </c:spPr>
          <c:invertIfNegative val="0"/>
          <c:cat>
            <c:strRef>
              <c:f>pivots!$J$29:$J$35</c:f>
              <c:strCache>
                <c:ptCount val="6"/>
                <c:pt idx="0">
                  <c:v>0</c:v>
                </c:pt>
                <c:pt idx="1">
                  <c:v>1</c:v>
                </c:pt>
                <c:pt idx="2">
                  <c:v>2</c:v>
                </c:pt>
                <c:pt idx="3">
                  <c:v>3</c:v>
                </c:pt>
                <c:pt idx="4">
                  <c:v>4</c:v>
                </c:pt>
                <c:pt idx="5">
                  <c:v>5</c:v>
                </c:pt>
              </c:strCache>
            </c:strRef>
          </c:cat>
          <c:val>
            <c:numRef>
              <c:f>pivots!$K$29:$K$35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B2D2-4B1C-930F-105BF1BD3BB3}"/>
            </c:ext>
          </c:extLst>
        </c:ser>
        <c:dLbls>
          <c:showLegendKey val="0"/>
          <c:showVal val="0"/>
          <c:showCatName val="0"/>
          <c:showSerName val="0"/>
          <c:showPercent val="0"/>
          <c:showBubbleSize val="0"/>
        </c:dLbls>
        <c:gapWidth val="20"/>
        <c:overlap val="-27"/>
        <c:axId val="32860560"/>
        <c:axId val="32861040"/>
      </c:barChart>
      <c:catAx>
        <c:axId val="3286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1040"/>
        <c:crosses val="autoZero"/>
        <c:auto val="1"/>
        <c:lblAlgn val="ctr"/>
        <c:lblOffset val="100"/>
        <c:noMultiLvlLbl val="0"/>
      </c:catAx>
      <c:valAx>
        <c:axId val="328610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13" Type="http://schemas.openxmlformats.org/officeDocument/2006/relationships/chart" Target="../charts/chart4.xml"/><Relationship Id="rId3" Type="http://schemas.openxmlformats.org/officeDocument/2006/relationships/image" Target="../media/image8.png"/><Relationship Id="rId7" Type="http://schemas.openxmlformats.org/officeDocument/2006/relationships/image" Target="../media/image16.png"/><Relationship Id="rId12" Type="http://schemas.openxmlformats.org/officeDocument/2006/relationships/chart" Target="../charts/chart3.xml"/><Relationship Id="rId2" Type="http://schemas.openxmlformats.org/officeDocument/2006/relationships/image" Target="../media/image15.svg"/><Relationship Id="rId16" Type="http://schemas.openxmlformats.org/officeDocument/2006/relationships/chart" Target="../charts/chart7.xml"/><Relationship Id="rId1" Type="http://schemas.openxmlformats.org/officeDocument/2006/relationships/image" Target="../media/image14.png"/><Relationship Id="rId6" Type="http://schemas.openxmlformats.org/officeDocument/2006/relationships/image" Target="../media/image7.svg"/><Relationship Id="rId11" Type="http://schemas.openxmlformats.org/officeDocument/2006/relationships/chart" Target="../charts/chart2.xml"/><Relationship Id="rId5" Type="http://schemas.openxmlformats.org/officeDocument/2006/relationships/image" Target="../media/image6.png"/><Relationship Id="rId15" Type="http://schemas.openxmlformats.org/officeDocument/2006/relationships/chart" Target="../charts/chart6.xml"/><Relationship Id="rId10" Type="http://schemas.openxmlformats.org/officeDocument/2006/relationships/image" Target="../media/image11.svg"/><Relationship Id="rId4" Type="http://schemas.openxmlformats.org/officeDocument/2006/relationships/image" Target="../media/image9.svg"/><Relationship Id="rId9" Type="http://schemas.openxmlformats.org/officeDocument/2006/relationships/image" Target="../media/image10.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243840</xdr:colOff>
      <xdr:row>3</xdr:row>
      <xdr:rowOff>83821</xdr:rowOff>
    </xdr:from>
    <xdr:to>
      <xdr:col>7</xdr:col>
      <xdr:colOff>403860</xdr:colOff>
      <xdr:row>12</xdr:row>
      <xdr:rowOff>45721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B6726B8-31C7-86CD-DF6A-4C10BFA1E32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404360" y="65532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0</xdr:row>
      <xdr:rowOff>26670</xdr:rowOff>
    </xdr:from>
    <xdr:to>
      <xdr:col>12</xdr:col>
      <xdr:colOff>594360</xdr:colOff>
      <xdr:row>6</xdr:row>
      <xdr:rowOff>167640</xdr:rowOff>
    </xdr:to>
    <xdr:graphicFrame macro="">
      <xdr:nvGraphicFramePr>
        <xdr:cNvPr id="4" name="Chart 3">
          <a:extLst>
            <a:ext uri="{FF2B5EF4-FFF2-40B4-BE49-F238E27FC236}">
              <a16:creationId xmlns:a16="http://schemas.microsoft.com/office/drawing/2014/main" id="{ABB4112B-E991-4D7B-6D01-D46FF284B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135585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291050</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172279</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184034</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156415</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143377</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2</xdr:row>
      <xdr:rowOff>0</xdr:rowOff>
    </xdr:from>
    <xdr:to>
      <xdr:col>3</xdr:col>
      <xdr:colOff>137160</xdr:colOff>
      <xdr:row>6</xdr:row>
      <xdr:rowOff>30480</xdr:rowOff>
    </xdr:to>
    <xdr:sp macro="" textlink="pivots!A4">
      <xdr:nvSpPr>
        <xdr:cNvPr id="2" name="Rectangle 1">
          <a:extLst>
            <a:ext uri="{FF2B5EF4-FFF2-40B4-BE49-F238E27FC236}">
              <a16:creationId xmlns:a16="http://schemas.microsoft.com/office/drawing/2014/main" id="{04FF3273-4DF8-E3E9-C3E7-EB57207D42AA}"/>
            </a:ext>
          </a:extLst>
        </xdr:cNvPr>
        <xdr:cNvSpPr/>
      </xdr:nvSpPr>
      <xdr:spPr>
        <a:xfrm>
          <a:off x="106680" y="381000"/>
          <a:ext cx="1516380" cy="792480"/>
        </a:xfrm>
        <a:prstGeom prst="rect">
          <a:avLst/>
        </a:prstGeom>
        <a:ln>
          <a:noFill/>
        </a:ln>
        <a:effectLst>
          <a:outerShdw blurRad="292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87030D6-3890-4BAA-8CFA-277DA67E56F2}" type="TxLink">
            <a:rPr lang="en-US" sz="2800" b="0" i="0" u="none" strike="noStrike">
              <a:solidFill>
                <a:schemeClr val="bg1"/>
              </a:solidFill>
              <a:latin typeface="Forte Forward" panose="020F0502020204030204" pitchFamily="2" charset="0"/>
              <a:cs typeface="Forte Forward" panose="020F0502020204030204" pitchFamily="2" charset="0"/>
            </a:rPr>
            <a:pPr algn="ctr"/>
            <a:t>1,000</a:t>
          </a:fld>
          <a:endParaRPr lang="en-US" sz="2800">
            <a:solidFill>
              <a:schemeClr val="bg1"/>
            </a:solidFill>
            <a:latin typeface="Forte Forward" panose="020F0502020204030204" pitchFamily="2" charset="0"/>
            <a:cs typeface="Forte Forward" panose="020F0502020204030204" pitchFamily="2" charset="0"/>
          </a:endParaRPr>
        </a:p>
      </xdr:txBody>
    </xdr:sp>
    <xdr:clientData/>
  </xdr:twoCellAnchor>
  <xdr:twoCellAnchor>
    <xdr:from>
      <xdr:col>1</xdr:col>
      <xdr:colOff>0</xdr:colOff>
      <xdr:row>3</xdr:row>
      <xdr:rowOff>175260</xdr:rowOff>
    </xdr:from>
    <xdr:to>
      <xdr:col>2</xdr:col>
      <xdr:colOff>655320</xdr:colOff>
      <xdr:row>5</xdr:row>
      <xdr:rowOff>106680</xdr:rowOff>
    </xdr:to>
    <xdr:sp macro="" textlink="">
      <xdr:nvSpPr>
        <xdr:cNvPr id="4" name="TextBox 3">
          <a:extLst>
            <a:ext uri="{FF2B5EF4-FFF2-40B4-BE49-F238E27FC236}">
              <a16:creationId xmlns:a16="http://schemas.microsoft.com/office/drawing/2014/main" id="{A9917188-AB2E-68A2-CB28-8790E1C63AFD}"/>
            </a:ext>
          </a:extLst>
        </xdr:cNvPr>
        <xdr:cNvSpPr txBox="1"/>
      </xdr:nvSpPr>
      <xdr:spPr>
        <a:xfrm>
          <a:off x="381000" y="746760"/>
          <a:ext cx="1028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orte Forward" pitchFamily="2" charset="0"/>
              <a:cs typeface="Forte Forward" pitchFamily="2" charset="0"/>
            </a:rPr>
            <a:t>calls</a:t>
          </a:r>
        </a:p>
      </xdr:txBody>
    </xdr:sp>
    <xdr:clientData/>
  </xdr:twoCellAnchor>
  <xdr:twoCellAnchor editAs="oneCell">
    <xdr:from>
      <xdr:col>0</xdr:col>
      <xdr:colOff>117918</xdr:colOff>
      <xdr:row>3</xdr:row>
      <xdr:rowOff>26547</xdr:rowOff>
    </xdr:from>
    <xdr:to>
      <xdr:col>1</xdr:col>
      <xdr:colOff>293317</xdr:colOff>
      <xdr:row>6</xdr:row>
      <xdr:rowOff>25281</xdr:rowOff>
    </xdr:to>
    <xdr:pic>
      <xdr:nvPicPr>
        <xdr:cNvPr id="5" name="Graphic 4" descr="Receiver with solid fill">
          <a:extLst>
            <a:ext uri="{FF2B5EF4-FFF2-40B4-BE49-F238E27FC236}">
              <a16:creationId xmlns:a16="http://schemas.microsoft.com/office/drawing/2014/main" id="{C94BF658-A4A3-4E55-8F46-22DA642A06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3022249">
          <a:off x="111001" y="604964"/>
          <a:ext cx="570234" cy="556399"/>
        </a:xfrm>
        <a:prstGeom prst="rect">
          <a:avLst/>
        </a:prstGeom>
      </xdr:spPr>
    </xdr:pic>
    <xdr:clientData/>
  </xdr:twoCellAnchor>
  <xdr:twoCellAnchor>
    <xdr:from>
      <xdr:col>0</xdr:col>
      <xdr:colOff>365760</xdr:colOff>
      <xdr:row>5</xdr:row>
      <xdr:rowOff>15240</xdr:rowOff>
    </xdr:from>
    <xdr:to>
      <xdr:col>3</xdr:col>
      <xdr:colOff>0</xdr:colOff>
      <xdr:row>6</xdr:row>
      <xdr:rowOff>30480</xdr:rowOff>
    </xdr:to>
    <xdr:sp macro="" textlink="pivots!A9">
      <xdr:nvSpPr>
        <xdr:cNvPr id="6" name="TextBox 5">
          <a:extLst>
            <a:ext uri="{FF2B5EF4-FFF2-40B4-BE49-F238E27FC236}">
              <a16:creationId xmlns:a16="http://schemas.microsoft.com/office/drawing/2014/main" id="{5CABD87B-6E85-3D8B-83B7-2EAAC6FEAE12}"/>
            </a:ext>
          </a:extLst>
        </xdr:cNvPr>
        <xdr:cNvSpPr txBox="1"/>
      </xdr:nvSpPr>
      <xdr:spPr>
        <a:xfrm>
          <a:off x="365760" y="967740"/>
          <a:ext cx="1120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3152A0-4B2C-480A-B92A-7734DBD91495}" type="TxLink">
            <a:rPr lang="en-US" sz="1100" b="0" i="0" u="none" strike="noStrike">
              <a:solidFill>
                <a:schemeClr val="bg1">
                  <a:lumMod val="95000"/>
                </a:schemeClr>
              </a:solidFill>
              <a:latin typeface="Forte Forward" pitchFamily="2" charset="0"/>
              <a:cs typeface="Forte Forward" pitchFamily="2" charset="0"/>
            </a:rPr>
            <a:pPr algn="ctr"/>
            <a:t>207</a:t>
          </a:fld>
          <a:endParaRPr lang="en-IN" sz="1100">
            <a:solidFill>
              <a:schemeClr val="bg1">
                <a:lumMod val="95000"/>
              </a:schemeClr>
            </a:solidFill>
            <a:latin typeface="Forte Forward" pitchFamily="2" charset="0"/>
            <a:cs typeface="Forte Forward" pitchFamily="2" charset="0"/>
          </a:endParaRPr>
        </a:p>
      </xdr:txBody>
    </xdr:sp>
    <xdr:clientData/>
  </xdr:twoCellAnchor>
  <xdr:twoCellAnchor>
    <xdr:from>
      <xdr:col>0</xdr:col>
      <xdr:colOff>106680</xdr:colOff>
      <xdr:row>7</xdr:row>
      <xdr:rowOff>62865</xdr:rowOff>
    </xdr:from>
    <xdr:to>
      <xdr:col>3</xdr:col>
      <xdr:colOff>144780</xdr:colOff>
      <xdr:row>11</xdr:row>
      <xdr:rowOff>93345</xdr:rowOff>
    </xdr:to>
    <xdr:sp macro="" textlink="pivots!B4">
      <xdr:nvSpPr>
        <xdr:cNvPr id="7" name="Rectangle 6">
          <a:extLst>
            <a:ext uri="{FF2B5EF4-FFF2-40B4-BE49-F238E27FC236}">
              <a16:creationId xmlns:a16="http://schemas.microsoft.com/office/drawing/2014/main" id="{2D79692E-812B-4800-9E03-50254C4EADC7}"/>
            </a:ext>
          </a:extLst>
        </xdr:cNvPr>
        <xdr:cNvSpPr/>
      </xdr:nvSpPr>
      <xdr:spPr>
        <a:xfrm>
          <a:off x="106680" y="1396365"/>
          <a:ext cx="1524000" cy="792480"/>
        </a:xfrm>
        <a:prstGeom prst="rect">
          <a:avLst/>
        </a:prstGeom>
        <a:ln>
          <a:noFill/>
        </a:ln>
        <a:effectLst>
          <a:outerShdw blurRad="292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1F14A64-C366-4412-A5D4-F58784A0B4D0}" type="TxLink">
            <a:rPr lang="en-US" sz="2800" b="0" i="0" u="none" strike="noStrike">
              <a:solidFill>
                <a:schemeClr val="bg1"/>
              </a:solidFill>
              <a:latin typeface="Forte Forward" panose="020F0502020204030204" pitchFamily="2" charset="0"/>
              <a:ea typeface="+mn-ea"/>
              <a:cs typeface="Forte Forward" panose="020F0502020204030204" pitchFamily="2" charset="0"/>
            </a:rPr>
            <a:pPr marL="0" indent="0" algn="ctr"/>
            <a:t>$96,623</a:t>
          </a:fld>
          <a:endParaRPr lang="en-US" sz="2800" b="0" i="0" u="none" strike="noStrike">
            <a:solidFill>
              <a:schemeClr val="bg1"/>
            </a:solidFill>
            <a:latin typeface="Forte Forward" panose="020F0502020204030204" pitchFamily="2" charset="0"/>
            <a:ea typeface="+mn-ea"/>
            <a:cs typeface="Forte Forward" panose="020F0502020204030204" pitchFamily="2" charset="0"/>
          </a:endParaRPr>
        </a:p>
      </xdr:txBody>
    </xdr:sp>
    <xdr:clientData/>
  </xdr:twoCellAnchor>
  <xdr:twoCellAnchor>
    <xdr:from>
      <xdr:col>1</xdr:col>
      <xdr:colOff>0</xdr:colOff>
      <xdr:row>9</xdr:row>
      <xdr:rowOff>68580</xdr:rowOff>
    </xdr:from>
    <xdr:to>
      <xdr:col>3</xdr:col>
      <xdr:colOff>83820</xdr:colOff>
      <xdr:row>11</xdr:row>
      <xdr:rowOff>0</xdr:rowOff>
    </xdr:to>
    <xdr:sp macro="" textlink="">
      <xdr:nvSpPr>
        <xdr:cNvPr id="8" name="TextBox 7">
          <a:extLst>
            <a:ext uri="{FF2B5EF4-FFF2-40B4-BE49-F238E27FC236}">
              <a16:creationId xmlns:a16="http://schemas.microsoft.com/office/drawing/2014/main" id="{5E036A55-E4D6-4F01-B599-05CB237EA112}"/>
            </a:ext>
          </a:extLst>
        </xdr:cNvPr>
        <xdr:cNvSpPr txBox="1"/>
      </xdr:nvSpPr>
      <xdr:spPr>
        <a:xfrm>
          <a:off x="381000" y="1783080"/>
          <a:ext cx="1188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orte Forward" pitchFamily="2" charset="0"/>
              <a:cs typeface="Forte Forward" pitchFamily="2" charset="0"/>
            </a:rPr>
            <a:t>Total</a:t>
          </a:r>
          <a:r>
            <a:rPr lang="en-IN" sz="1100" baseline="0">
              <a:solidFill>
                <a:schemeClr val="bg1"/>
              </a:solidFill>
              <a:latin typeface="Forte Forward" pitchFamily="2" charset="0"/>
              <a:cs typeface="Forte Forward" pitchFamily="2" charset="0"/>
            </a:rPr>
            <a:t> amount</a:t>
          </a:r>
          <a:endParaRPr lang="en-IN" sz="1100">
            <a:solidFill>
              <a:schemeClr val="bg1"/>
            </a:solidFill>
            <a:latin typeface="Forte Forward" pitchFamily="2" charset="0"/>
            <a:cs typeface="Forte Forward" pitchFamily="2" charset="0"/>
          </a:endParaRPr>
        </a:p>
      </xdr:txBody>
    </xdr:sp>
    <xdr:clientData/>
  </xdr:twoCellAnchor>
  <xdr:twoCellAnchor>
    <xdr:from>
      <xdr:col>0</xdr:col>
      <xdr:colOff>251460</xdr:colOff>
      <xdr:row>10</xdr:row>
      <xdr:rowOff>0</xdr:rowOff>
    </xdr:from>
    <xdr:to>
      <xdr:col>2</xdr:col>
      <xdr:colOff>617220</xdr:colOff>
      <xdr:row>11</xdr:row>
      <xdr:rowOff>15240</xdr:rowOff>
    </xdr:to>
    <xdr:sp macro="" textlink="pivots!A9">
      <xdr:nvSpPr>
        <xdr:cNvPr id="9" name="TextBox 8">
          <a:extLst>
            <a:ext uri="{FF2B5EF4-FFF2-40B4-BE49-F238E27FC236}">
              <a16:creationId xmlns:a16="http://schemas.microsoft.com/office/drawing/2014/main" id="{12995764-6470-4405-8C68-A694A6E0527B}"/>
            </a:ext>
          </a:extLst>
        </xdr:cNvPr>
        <xdr:cNvSpPr txBox="1"/>
      </xdr:nvSpPr>
      <xdr:spPr>
        <a:xfrm>
          <a:off x="251460" y="1905000"/>
          <a:ext cx="1120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3152A0-4B2C-480A-B92A-7734DBD91495}" type="TxLink">
            <a:rPr lang="en-US" sz="1100" b="0" i="0" u="none" strike="noStrike">
              <a:solidFill>
                <a:schemeClr val="bg1">
                  <a:lumMod val="95000"/>
                </a:schemeClr>
              </a:solidFill>
              <a:latin typeface="Forte Forward" pitchFamily="2" charset="0"/>
              <a:cs typeface="Forte Forward" pitchFamily="2" charset="0"/>
            </a:rPr>
            <a:pPr algn="ctr"/>
            <a:t>207</a:t>
          </a:fld>
          <a:endParaRPr lang="en-IN" sz="1100">
            <a:solidFill>
              <a:schemeClr val="bg1">
                <a:lumMod val="95000"/>
              </a:schemeClr>
            </a:solidFill>
            <a:latin typeface="Forte Forward" pitchFamily="2" charset="0"/>
            <a:cs typeface="Forte Forward" pitchFamily="2" charset="0"/>
          </a:endParaRPr>
        </a:p>
      </xdr:txBody>
    </xdr:sp>
    <xdr:clientData/>
  </xdr:twoCellAnchor>
  <xdr:twoCellAnchor>
    <xdr:from>
      <xdr:col>0</xdr:col>
      <xdr:colOff>106680</xdr:colOff>
      <xdr:row>12</xdr:row>
      <xdr:rowOff>125730</xdr:rowOff>
    </xdr:from>
    <xdr:to>
      <xdr:col>3</xdr:col>
      <xdr:colOff>144780</xdr:colOff>
      <xdr:row>16</xdr:row>
      <xdr:rowOff>156210</xdr:rowOff>
    </xdr:to>
    <xdr:sp macro="" textlink="pivots!C4">
      <xdr:nvSpPr>
        <xdr:cNvPr id="10" name="Rectangle 9">
          <a:extLst>
            <a:ext uri="{FF2B5EF4-FFF2-40B4-BE49-F238E27FC236}">
              <a16:creationId xmlns:a16="http://schemas.microsoft.com/office/drawing/2014/main" id="{041A7358-D6E8-4EB8-946A-8E2FD03900A6}"/>
            </a:ext>
          </a:extLst>
        </xdr:cNvPr>
        <xdr:cNvSpPr/>
      </xdr:nvSpPr>
      <xdr:spPr>
        <a:xfrm>
          <a:off x="106680" y="2411730"/>
          <a:ext cx="1524000" cy="792480"/>
        </a:xfrm>
        <a:prstGeom prst="rect">
          <a:avLst/>
        </a:prstGeom>
        <a:ln>
          <a:noFill/>
        </a:ln>
        <a:effectLst>
          <a:outerShdw blurRad="292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6B0D3A0-8E9D-49BB-A2EB-1FB81CD2A51B}" type="TxLink">
            <a:rPr lang="en-US" sz="2800" b="0" i="0" u="none" strike="noStrike">
              <a:solidFill>
                <a:schemeClr val="bg1"/>
              </a:solidFill>
              <a:latin typeface="Forte Forward" panose="020F0502020204030204" pitchFamily="2" charset="0"/>
              <a:ea typeface="+mn-ea"/>
              <a:cs typeface="Forte Forward" panose="020F0502020204030204" pitchFamily="2" charset="0"/>
            </a:rPr>
            <a:pPr marL="0" indent="0" algn="ctr"/>
            <a:t>89,850</a:t>
          </a:fld>
          <a:endParaRPr lang="en-US" sz="2800" b="0" i="0" u="none" strike="noStrike">
            <a:solidFill>
              <a:schemeClr val="bg1"/>
            </a:solidFill>
            <a:latin typeface="Forte Forward" panose="020F0502020204030204" pitchFamily="2" charset="0"/>
            <a:ea typeface="+mn-ea"/>
            <a:cs typeface="Forte Forward" panose="020F0502020204030204" pitchFamily="2" charset="0"/>
          </a:endParaRPr>
        </a:p>
      </xdr:txBody>
    </xdr:sp>
    <xdr:clientData/>
  </xdr:twoCellAnchor>
  <xdr:twoCellAnchor>
    <xdr:from>
      <xdr:col>1</xdr:col>
      <xdr:colOff>0</xdr:colOff>
      <xdr:row>14</xdr:row>
      <xdr:rowOff>106680</xdr:rowOff>
    </xdr:from>
    <xdr:to>
      <xdr:col>3</xdr:col>
      <xdr:colOff>15240</xdr:colOff>
      <xdr:row>16</xdr:row>
      <xdr:rowOff>38100</xdr:rowOff>
    </xdr:to>
    <xdr:sp macro="" textlink="">
      <xdr:nvSpPr>
        <xdr:cNvPr id="11" name="TextBox 10">
          <a:extLst>
            <a:ext uri="{FF2B5EF4-FFF2-40B4-BE49-F238E27FC236}">
              <a16:creationId xmlns:a16="http://schemas.microsoft.com/office/drawing/2014/main" id="{E7F65963-A3C2-4226-8396-10EF0059920A}"/>
            </a:ext>
          </a:extLst>
        </xdr:cNvPr>
        <xdr:cNvSpPr txBox="1"/>
      </xdr:nvSpPr>
      <xdr:spPr>
        <a:xfrm>
          <a:off x="381000" y="2773680"/>
          <a:ext cx="11201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orte Forward" pitchFamily="2" charset="0"/>
              <a:cs typeface="Forte Forward" pitchFamily="2" charset="0"/>
            </a:rPr>
            <a:t>total</a:t>
          </a:r>
          <a:r>
            <a:rPr lang="en-IN" sz="1100" baseline="0">
              <a:solidFill>
                <a:schemeClr val="bg1"/>
              </a:solidFill>
              <a:latin typeface="Forte Forward" pitchFamily="2" charset="0"/>
              <a:cs typeface="Forte Forward" pitchFamily="2" charset="0"/>
            </a:rPr>
            <a:t> duration</a:t>
          </a:r>
          <a:endParaRPr lang="en-IN" sz="1100">
            <a:solidFill>
              <a:schemeClr val="bg1"/>
            </a:solidFill>
            <a:latin typeface="Forte Forward" pitchFamily="2" charset="0"/>
            <a:cs typeface="Forte Forward" pitchFamily="2" charset="0"/>
          </a:endParaRPr>
        </a:p>
      </xdr:txBody>
    </xdr:sp>
    <xdr:clientData/>
  </xdr:twoCellAnchor>
  <xdr:twoCellAnchor>
    <xdr:from>
      <xdr:col>0</xdr:col>
      <xdr:colOff>350520</xdr:colOff>
      <xdr:row>15</xdr:row>
      <xdr:rowOff>114300</xdr:rowOff>
    </xdr:from>
    <xdr:to>
      <xdr:col>2</xdr:col>
      <xdr:colOff>716280</xdr:colOff>
      <xdr:row>16</xdr:row>
      <xdr:rowOff>129540</xdr:rowOff>
    </xdr:to>
    <xdr:sp macro="" textlink="pivots!A9">
      <xdr:nvSpPr>
        <xdr:cNvPr id="12" name="TextBox 11">
          <a:extLst>
            <a:ext uri="{FF2B5EF4-FFF2-40B4-BE49-F238E27FC236}">
              <a16:creationId xmlns:a16="http://schemas.microsoft.com/office/drawing/2014/main" id="{0724D0AF-182F-449C-A5A7-0AD36E5DA6E0}"/>
            </a:ext>
          </a:extLst>
        </xdr:cNvPr>
        <xdr:cNvSpPr txBox="1"/>
      </xdr:nvSpPr>
      <xdr:spPr>
        <a:xfrm>
          <a:off x="350520" y="2971800"/>
          <a:ext cx="1120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3152A0-4B2C-480A-B92A-7734DBD91495}" type="TxLink">
            <a:rPr lang="en-US" sz="1100" b="0" i="0" u="none" strike="noStrike">
              <a:solidFill>
                <a:schemeClr val="bg1">
                  <a:lumMod val="95000"/>
                </a:schemeClr>
              </a:solidFill>
              <a:latin typeface="Forte Forward" pitchFamily="2" charset="0"/>
              <a:cs typeface="Forte Forward" pitchFamily="2" charset="0"/>
            </a:rPr>
            <a:pPr algn="ctr"/>
            <a:t>207</a:t>
          </a:fld>
          <a:endParaRPr lang="en-IN" sz="1100">
            <a:solidFill>
              <a:schemeClr val="bg1">
                <a:lumMod val="95000"/>
              </a:schemeClr>
            </a:solidFill>
            <a:latin typeface="Forte Forward" pitchFamily="2" charset="0"/>
            <a:cs typeface="Forte Forward" pitchFamily="2" charset="0"/>
          </a:endParaRPr>
        </a:p>
      </xdr:txBody>
    </xdr:sp>
    <xdr:clientData/>
  </xdr:twoCellAnchor>
  <xdr:twoCellAnchor>
    <xdr:from>
      <xdr:col>0</xdr:col>
      <xdr:colOff>106680</xdr:colOff>
      <xdr:row>17</xdr:row>
      <xdr:rowOff>188595</xdr:rowOff>
    </xdr:from>
    <xdr:to>
      <xdr:col>3</xdr:col>
      <xdr:colOff>182880</xdr:colOff>
      <xdr:row>22</xdr:row>
      <xdr:rowOff>28575</xdr:rowOff>
    </xdr:to>
    <xdr:sp macro="" textlink="pivots!D4">
      <xdr:nvSpPr>
        <xdr:cNvPr id="14" name="Rectangle 13">
          <a:extLst>
            <a:ext uri="{FF2B5EF4-FFF2-40B4-BE49-F238E27FC236}">
              <a16:creationId xmlns:a16="http://schemas.microsoft.com/office/drawing/2014/main" id="{B572E438-C1A7-424B-867A-78A430F7E8E3}"/>
            </a:ext>
          </a:extLst>
        </xdr:cNvPr>
        <xdr:cNvSpPr/>
      </xdr:nvSpPr>
      <xdr:spPr>
        <a:xfrm>
          <a:off x="106680" y="3427095"/>
          <a:ext cx="1562100" cy="792480"/>
        </a:xfrm>
        <a:prstGeom prst="rect">
          <a:avLst/>
        </a:prstGeom>
        <a:ln>
          <a:noFill/>
        </a:ln>
        <a:effectLst>
          <a:outerShdw blurRad="292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A970C8D-0B64-49C6-A1B6-137C63D81CA5}" type="TxLink">
            <a:rPr lang="en-US" sz="2800" b="0" i="0" u="none" strike="noStrike">
              <a:solidFill>
                <a:schemeClr val="bg1"/>
              </a:solidFill>
              <a:latin typeface="Forte Forward" panose="020F0502020204030204" pitchFamily="2" charset="0"/>
              <a:ea typeface="+mn-ea"/>
              <a:cs typeface="Forte Forward" panose="020F0502020204030204" pitchFamily="2" charset="0"/>
            </a:rPr>
            <a:pPr marL="0" indent="0" algn="ctr"/>
            <a:t>3.9</a:t>
          </a:fld>
          <a:endParaRPr lang="en-US" sz="2800" b="0" i="0" u="none" strike="noStrike">
            <a:solidFill>
              <a:schemeClr val="bg1"/>
            </a:solidFill>
            <a:latin typeface="Forte Forward" panose="020F0502020204030204" pitchFamily="2" charset="0"/>
            <a:ea typeface="+mn-ea"/>
            <a:cs typeface="Forte Forward" panose="020F0502020204030204" pitchFamily="2" charset="0"/>
          </a:endParaRPr>
        </a:p>
      </xdr:txBody>
    </xdr:sp>
    <xdr:clientData/>
  </xdr:twoCellAnchor>
  <xdr:twoCellAnchor>
    <xdr:from>
      <xdr:col>1</xdr:col>
      <xdr:colOff>0</xdr:colOff>
      <xdr:row>20</xdr:row>
      <xdr:rowOff>0</xdr:rowOff>
    </xdr:from>
    <xdr:to>
      <xdr:col>2</xdr:col>
      <xdr:colOff>655320</xdr:colOff>
      <xdr:row>21</xdr:row>
      <xdr:rowOff>121920</xdr:rowOff>
    </xdr:to>
    <xdr:sp macro="" textlink="">
      <xdr:nvSpPr>
        <xdr:cNvPr id="15" name="TextBox 14">
          <a:extLst>
            <a:ext uri="{FF2B5EF4-FFF2-40B4-BE49-F238E27FC236}">
              <a16:creationId xmlns:a16="http://schemas.microsoft.com/office/drawing/2014/main" id="{27A0B738-EEF7-420B-AD0D-49E13115CEBB}"/>
            </a:ext>
          </a:extLst>
        </xdr:cNvPr>
        <xdr:cNvSpPr txBox="1"/>
      </xdr:nvSpPr>
      <xdr:spPr>
        <a:xfrm>
          <a:off x="381000" y="3810000"/>
          <a:ext cx="1028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orte Forward" pitchFamily="2" charset="0"/>
              <a:cs typeface="Forte Forward" pitchFamily="2" charset="0"/>
            </a:rPr>
            <a:t>Avg</a:t>
          </a:r>
          <a:r>
            <a:rPr lang="en-IN" sz="1100" baseline="0">
              <a:solidFill>
                <a:schemeClr val="bg1"/>
              </a:solidFill>
              <a:latin typeface="Forte Forward" pitchFamily="2" charset="0"/>
              <a:cs typeface="Forte Forward" pitchFamily="2" charset="0"/>
            </a:rPr>
            <a:t> rating</a:t>
          </a:r>
          <a:endParaRPr lang="en-IN" sz="1100">
            <a:solidFill>
              <a:schemeClr val="bg1"/>
            </a:solidFill>
            <a:latin typeface="Forte Forward" pitchFamily="2" charset="0"/>
            <a:cs typeface="Forte Forward" pitchFamily="2" charset="0"/>
          </a:endParaRPr>
        </a:p>
      </xdr:txBody>
    </xdr:sp>
    <xdr:clientData/>
  </xdr:twoCellAnchor>
  <xdr:twoCellAnchor>
    <xdr:from>
      <xdr:col>0</xdr:col>
      <xdr:colOff>365760</xdr:colOff>
      <xdr:row>20</xdr:row>
      <xdr:rowOff>175260</xdr:rowOff>
    </xdr:from>
    <xdr:to>
      <xdr:col>3</xdr:col>
      <xdr:colOff>0</xdr:colOff>
      <xdr:row>22</xdr:row>
      <xdr:rowOff>0</xdr:rowOff>
    </xdr:to>
    <xdr:sp macro="" textlink="pivots!A9">
      <xdr:nvSpPr>
        <xdr:cNvPr id="16" name="TextBox 15">
          <a:extLst>
            <a:ext uri="{FF2B5EF4-FFF2-40B4-BE49-F238E27FC236}">
              <a16:creationId xmlns:a16="http://schemas.microsoft.com/office/drawing/2014/main" id="{5B435D1B-1A0E-424A-8C98-A1729B16445A}"/>
            </a:ext>
          </a:extLst>
        </xdr:cNvPr>
        <xdr:cNvSpPr txBox="1"/>
      </xdr:nvSpPr>
      <xdr:spPr>
        <a:xfrm>
          <a:off x="365760" y="3985260"/>
          <a:ext cx="1120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3152A0-4B2C-480A-B92A-7734DBD91495}" type="TxLink">
            <a:rPr lang="en-US" sz="1100" b="0" i="0" u="none" strike="noStrike">
              <a:solidFill>
                <a:schemeClr val="bg1">
                  <a:lumMod val="95000"/>
                </a:schemeClr>
              </a:solidFill>
              <a:latin typeface="Forte Forward" pitchFamily="2" charset="0"/>
              <a:cs typeface="Forte Forward" pitchFamily="2" charset="0"/>
            </a:rPr>
            <a:pPr algn="ctr"/>
            <a:t>207</a:t>
          </a:fld>
          <a:endParaRPr lang="en-IN" sz="1100">
            <a:solidFill>
              <a:schemeClr val="bg1">
                <a:lumMod val="95000"/>
              </a:schemeClr>
            </a:solidFill>
            <a:latin typeface="Forte Forward" pitchFamily="2" charset="0"/>
            <a:cs typeface="Forte Forward" pitchFamily="2" charset="0"/>
          </a:endParaRPr>
        </a:p>
      </xdr:txBody>
    </xdr:sp>
    <xdr:clientData/>
  </xdr:twoCellAnchor>
  <xdr:twoCellAnchor>
    <xdr:from>
      <xdr:col>0</xdr:col>
      <xdr:colOff>106680</xdr:colOff>
      <xdr:row>23</xdr:row>
      <xdr:rowOff>60960</xdr:rowOff>
    </xdr:from>
    <xdr:to>
      <xdr:col>3</xdr:col>
      <xdr:colOff>167640</xdr:colOff>
      <xdr:row>27</xdr:row>
      <xdr:rowOff>91440</xdr:rowOff>
    </xdr:to>
    <xdr:sp macro="" textlink="pivots!E4">
      <xdr:nvSpPr>
        <xdr:cNvPr id="20" name="Rectangle 19">
          <a:extLst>
            <a:ext uri="{FF2B5EF4-FFF2-40B4-BE49-F238E27FC236}">
              <a16:creationId xmlns:a16="http://schemas.microsoft.com/office/drawing/2014/main" id="{EF3EF252-9A19-4EFC-9854-001CA8870E94}"/>
            </a:ext>
          </a:extLst>
        </xdr:cNvPr>
        <xdr:cNvSpPr/>
      </xdr:nvSpPr>
      <xdr:spPr>
        <a:xfrm>
          <a:off x="106680" y="4442460"/>
          <a:ext cx="1546860" cy="792480"/>
        </a:xfrm>
        <a:prstGeom prst="rect">
          <a:avLst/>
        </a:prstGeom>
        <a:ln>
          <a:noFill/>
        </a:ln>
        <a:effectLst>
          <a:outerShdw blurRad="292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EBEA587-845C-4219-B349-56833D20A3A0}" type="TxLink">
            <a:rPr lang="en-US" sz="2800" b="0" i="0" u="none" strike="noStrike">
              <a:solidFill>
                <a:schemeClr val="bg1"/>
              </a:solidFill>
              <a:latin typeface="Forte Forward" panose="020F0502020204030204" pitchFamily="2" charset="0"/>
              <a:ea typeface="+mn-ea"/>
              <a:cs typeface="Forte Forward" panose="020F0502020204030204" pitchFamily="2" charset="0"/>
            </a:rPr>
            <a:pPr marL="0" indent="0" algn="ctr"/>
            <a:t>307</a:t>
          </a:fld>
          <a:endParaRPr lang="en-US" sz="2800" b="0" i="0" u="none" strike="noStrike">
            <a:solidFill>
              <a:schemeClr val="bg1"/>
            </a:solidFill>
            <a:latin typeface="Forte Forward" panose="020F0502020204030204" pitchFamily="2" charset="0"/>
            <a:ea typeface="+mn-ea"/>
            <a:cs typeface="Forte Forward" panose="020F0502020204030204" pitchFamily="2" charset="0"/>
          </a:endParaRPr>
        </a:p>
      </xdr:txBody>
    </xdr:sp>
    <xdr:clientData/>
  </xdr:twoCellAnchor>
  <xdr:twoCellAnchor>
    <xdr:from>
      <xdr:col>1</xdr:col>
      <xdr:colOff>0</xdr:colOff>
      <xdr:row>25</xdr:row>
      <xdr:rowOff>60960</xdr:rowOff>
    </xdr:from>
    <xdr:to>
      <xdr:col>2</xdr:col>
      <xdr:colOff>655320</xdr:colOff>
      <xdr:row>26</xdr:row>
      <xdr:rowOff>182880</xdr:rowOff>
    </xdr:to>
    <xdr:sp macro="" textlink="">
      <xdr:nvSpPr>
        <xdr:cNvPr id="21" name="TextBox 20">
          <a:extLst>
            <a:ext uri="{FF2B5EF4-FFF2-40B4-BE49-F238E27FC236}">
              <a16:creationId xmlns:a16="http://schemas.microsoft.com/office/drawing/2014/main" id="{95388D32-A041-4DCE-B63B-9C3D63BADD74}"/>
            </a:ext>
          </a:extLst>
        </xdr:cNvPr>
        <xdr:cNvSpPr txBox="1"/>
      </xdr:nvSpPr>
      <xdr:spPr>
        <a:xfrm>
          <a:off x="381000" y="4823460"/>
          <a:ext cx="1028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orte Forward" pitchFamily="2" charset="0"/>
              <a:cs typeface="Forte Forward" pitchFamily="2" charset="0"/>
            </a:rPr>
            <a:t>5</a:t>
          </a:r>
          <a:r>
            <a:rPr lang="en-IN" sz="1100" baseline="0">
              <a:solidFill>
                <a:schemeClr val="bg1"/>
              </a:solidFill>
              <a:latin typeface="Forte Forward" pitchFamily="2" charset="0"/>
              <a:cs typeface="Forte Forward" pitchFamily="2" charset="0"/>
            </a:rPr>
            <a:t> rating</a:t>
          </a:r>
          <a:endParaRPr lang="en-IN" sz="1100">
            <a:solidFill>
              <a:schemeClr val="bg1"/>
            </a:solidFill>
            <a:latin typeface="Forte Forward" pitchFamily="2" charset="0"/>
            <a:cs typeface="Forte Forward" pitchFamily="2" charset="0"/>
          </a:endParaRPr>
        </a:p>
      </xdr:txBody>
    </xdr:sp>
    <xdr:clientData/>
  </xdr:twoCellAnchor>
  <xdr:twoCellAnchor>
    <xdr:from>
      <xdr:col>0</xdr:col>
      <xdr:colOff>320040</xdr:colOff>
      <xdr:row>26</xdr:row>
      <xdr:rowOff>60960</xdr:rowOff>
    </xdr:from>
    <xdr:to>
      <xdr:col>2</xdr:col>
      <xdr:colOff>685800</xdr:colOff>
      <xdr:row>27</xdr:row>
      <xdr:rowOff>76200</xdr:rowOff>
    </xdr:to>
    <xdr:sp macro="" textlink="pivots!A9">
      <xdr:nvSpPr>
        <xdr:cNvPr id="22" name="TextBox 21">
          <a:extLst>
            <a:ext uri="{FF2B5EF4-FFF2-40B4-BE49-F238E27FC236}">
              <a16:creationId xmlns:a16="http://schemas.microsoft.com/office/drawing/2014/main" id="{7D4069D6-9D96-4A7E-83FF-D3931F59ECE8}"/>
            </a:ext>
          </a:extLst>
        </xdr:cNvPr>
        <xdr:cNvSpPr txBox="1"/>
      </xdr:nvSpPr>
      <xdr:spPr>
        <a:xfrm>
          <a:off x="320040" y="5013960"/>
          <a:ext cx="1120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3152A0-4B2C-480A-B92A-7734DBD91495}" type="TxLink">
            <a:rPr lang="en-US" sz="1100" b="0" i="0" u="none" strike="noStrike">
              <a:solidFill>
                <a:schemeClr val="bg1">
                  <a:lumMod val="95000"/>
                </a:schemeClr>
              </a:solidFill>
              <a:latin typeface="Forte Forward" pitchFamily="2" charset="0"/>
              <a:cs typeface="Forte Forward" pitchFamily="2" charset="0"/>
            </a:rPr>
            <a:pPr algn="ctr"/>
            <a:t>207</a:t>
          </a:fld>
          <a:endParaRPr lang="en-IN" sz="1100">
            <a:solidFill>
              <a:schemeClr val="bg1">
                <a:lumMod val="95000"/>
              </a:schemeClr>
            </a:solidFill>
            <a:latin typeface="Forte Forward" pitchFamily="2" charset="0"/>
            <a:cs typeface="Forte Forward" pitchFamily="2" charset="0"/>
          </a:endParaRPr>
        </a:p>
      </xdr:txBody>
    </xdr:sp>
    <xdr:clientData/>
  </xdr:twoCellAnchor>
  <xdr:twoCellAnchor editAs="oneCell">
    <xdr:from>
      <xdr:col>0</xdr:col>
      <xdr:colOff>30480</xdr:colOff>
      <xdr:row>14</xdr:row>
      <xdr:rowOff>15240</xdr:rowOff>
    </xdr:from>
    <xdr:to>
      <xdr:col>1</xdr:col>
      <xdr:colOff>59130</xdr:colOff>
      <xdr:row>16</xdr:row>
      <xdr:rowOff>38921</xdr:rowOff>
    </xdr:to>
    <xdr:pic>
      <xdr:nvPicPr>
        <xdr:cNvPr id="24" name="Graphic 23" descr="Hourglass Finished with solid fill">
          <a:extLst>
            <a:ext uri="{FF2B5EF4-FFF2-40B4-BE49-F238E27FC236}">
              <a16:creationId xmlns:a16="http://schemas.microsoft.com/office/drawing/2014/main" id="{083AFF20-7A91-4733-BF6A-94D4EB9005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2682240"/>
          <a:ext cx="409650" cy="404681"/>
        </a:xfrm>
        <a:prstGeom prst="rect">
          <a:avLst/>
        </a:prstGeom>
      </xdr:spPr>
    </xdr:pic>
    <xdr:clientData/>
  </xdr:twoCellAnchor>
  <xdr:twoCellAnchor editAs="oneCell">
    <xdr:from>
      <xdr:col>0</xdr:col>
      <xdr:colOff>137160</xdr:colOff>
      <xdr:row>23</xdr:row>
      <xdr:rowOff>38100</xdr:rowOff>
    </xdr:from>
    <xdr:to>
      <xdr:col>1</xdr:col>
      <xdr:colOff>165810</xdr:colOff>
      <xdr:row>25</xdr:row>
      <xdr:rowOff>56811</xdr:rowOff>
    </xdr:to>
    <xdr:pic>
      <xdr:nvPicPr>
        <xdr:cNvPr id="25" name="Graphic 24" descr="Star-struck face outline with solid fill">
          <a:extLst>
            <a:ext uri="{FF2B5EF4-FFF2-40B4-BE49-F238E27FC236}">
              <a16:creationId xmlns:a16="http://schemas.microsoft.com/office/drawing/2014/main" id="{41C18A8D-E783-4E48-96D1-4E1A817BEEE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160" y="4419600"/>
          <a:ext cx="409650" cy="399711"/>
        </a:xfrm>
        <a:prstGeom prst="rect">
          <a:avLst/>
        </a:prstGeom>
      </xdr:spPr>
    </xdr:pic>
    <xdr:clientData/>
  </xdr:twoCellAnchor>
  <xdr:twoCellAnchor editAs="oneCell">
    <xdr:from>
      <xdr:col>0</xdr:col>
      <xdr:colOff>205740</xdr:colOff>
      <xdr:row>18</xdr:row>
      <xdr:rowOff>83820</xdr:rowOff>
    </xdr:from>
    <xdr:to>
      <xdr:col>1</xdr:col>
      <xdr:colOff>236220</xdr:colOff>
      <xdr:row>20</xdr:row>
      <xdr:rowOff>104361</xdr:rowOff>
    </xdr:to>
    <xdr:pic>
      <xdr:nvPicPr>
        <xdr:cNvPr id="26" name="Graphic 25" descr="Rating Star with solid fill">
          <a:extLst>
            <a:ext uri="{FF2B5EF4-FFF2-40B4-BE49-F238E27FC236}">
              <a16:creationId xmlns:a16="http://schemas.microsoft.com/office/drawing/2014/main" id="{348E6407-D849-4181-9922-FAD6FF7569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05740" y="3512820"/>
          <a:ext cx="411480" cy="401541"/>
        </a:xfrm>
        <a:prstGeom prst="rect">
          <a:avLst/>
        </a:prstGeom>
      </xdr:spPr>
    </xdr:pic>
    <xdr:clientData/>
  </xdr:twoCellAnchor>
  <xdr:twoCellAnchor editAs="oneCell">
    <xdr:from>
      <xdr:col>0</xdr:col>
      <xdr:colOff>128113</xdr:colOff>
      <xdr:row>9</xdr:row>
      <xdr:rowOff>144780</xdr:rowOff>
    </xdr:from>
    <xdr:to>
      <xdr:col>1</xdr:col>
      <xdr:colOff>126686</xdr:colOff>
      <xdr:row>11</xdr:row>
      <xdr:rowOff>129540</xdr:rowOff>
    </xdr:to>
    <xdr:pic>
      <xdr:nvPicPr>
        <xdr:cNvPr id="27" name="Graphic 26" descr="Shopping cart with solid fill">
          <a:extLst>
            <a:ext uri="{FF2B5EF4-FFF2-40B4-BE49-F238E27FC236}">
              <a16:creationId xmlns:a16="http://schemas.microsoft.com/office/drawing/2014/main" id="{9C0D8C8B-A1B6-408F-BB8D-907D3E2777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8113" y="1859280"/>
          <a:ext cx="379573" cy="365760"/>
        </a:xfrm>
        <a:prstGeom prst="rect">
          <a:avLst/>
        </a:prstGeom>
      </xdr:spPr>
    </xdr:pic>
    <xdr:clientData/>
  </xdr:twoCellAnchor>
  <xdr:twoCellAnchor>
    <xdr:from>
      <xdr:col>9</xdr:col>
      <xdr:colOff>640080</xdr:colOff>
      <xdr:row>2</xdr:row>
      <xdr:rowOff>0</xdr:rowOff>
    </xdr:from>
    <xdr:to>
      <xdr:col>12</xdr:col>
      <xdr:colOff>579120</xdr:colOff>
      <xdr:row>13</xdr:row>
      <xdr:rowOff>76200</xdr:rowOff>
    </xdr:to>
    <xdr:graphicFrame macro="">
      <xdr:nvGraphicFramePr>
        <xdr:cNvPr id="32" name="Chart 31">
          <a:extLst>
            <a:ext uri="{FF2B5EF4-FFF2-40B4-BE49-F238E27FC236}">
              <a16:creationId xmlns:a16="http://schemas.microsoft.com/office/drawing/2014/main" id="{19F60E4A-94A8-4B2F-8E0F-52559F483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403860</xdr:colOff>
      <xdr:row>2</xdr:row>
      <xdr:rowOff>0</xdr:rowOff>
    </xdr:from>
    <xdr:to>
      <xdr:col>9</xdr:col>
      <xdr:colOff>708660</xdr:colOff>
      <xdr:row>13</xdr:row>
      <xdr:rowOff>68580</xdr:rowOff>
    </xdr:to>
    <xdr:graphicFrame macro="">
      <xdr:nvGraphicFramePr>
        <xdr:cNvPr id="30" name="Chart 29">
          <a:extLst>
            <a:ext uri="{FF2B5EF4-FFF2-40B4-BE49-F238E27FC236}">
              <a16:creationId xmlns:a16="http://schemas.microsoft.com/office/drawing/2014/main" id="{9EB60704-CED0-4C08-9FBC-D2EAF6812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68580</xdr:colOff>
      <xdr:row>14</xdr:row>
      <xdr:rowOff>38100</xdr:rowOff>
    </xdr:from>
    <xdr:to>
      <xdr:col>12</xdr:col>
      <xdr:colOff>579120</xdr:colOff>
      <xdr:row>33</xdr:row>
      <xdr:rowOff>15240</xdr:rowOff>
    </xdr:to>
    <mc:AlternateContent xmlns:mc="http://schemas.openxmlformats.org/markup-compatibility/2006">
      <mc:Choice xmlns:a14="http://schemas.microsoft.com/office/drawing/2010/main" Requires="a14">
        <xdr:graphicFrame macro="">
          <xdr:nvGraphicFramePr>
            <xdr:cNvPr id="31" name="Representative 1">
              <a:extLst>
                <a:ext uri="{FF2B5EF4-FFF2-40B4-BE49-F238E27FC236}">
                  <a16:creationId xmlns:a16="http://schemas.microsoft.com/office/drawing/2014/main" id="{0601F213-6770-440F-BDB3-A427BB64427E}"/>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7406640" y="2705100"/>
              <a:ext cx="1242060" cy="359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403860</xdr:colOff>
      <xdr:row>14</xdr:row>
      <xdr:rowOff>38100</xdr:rowOff>
    </xdr:from>
    <xdr:to>
      <xdr:col>7</xdr:col>
      <xdr:colOff>518160</xdr:colOff>
      <xdr:row>33</xdr:row>
      <xdr:rowOff>22860</xdr:rowOff>
    </xdr:to>
    <xdr:graphicFrame macro="">
      <xdr:nvGraphicFramePr>
        <xdr:cNvPr id="3" name="Chart 2">
          <a:extLst>
            <a:ext uri="{FF2B5EF4-FFF2-40B4-BE49-F238E27FC236}">
              <a16:creationId xmlns:a16="http://schemas.microsoft.com/office/drawing/2014/main" id="{3729199A-E663-445C-8733-428F690AC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289560</xdr:colOff>
      <xdr:row>14</xdr:row>
      <xdr:rowOff>38100</xdr:rowOff>
    </xdr:from>
    <xdr:to>
      <xdr:col>11</xdr:col>
      <xdr:colOff>137160</xdr:colOff>
      <xdr:row>33</xdr:row>
      <xdr:rowOff>22860</xdr:rowOff>
    </xdr:to>
    <xdr:graphicFrame macro="">
      <xdr:nvGraphicFramePr>
        <xdr:cNvPr id="13" name="Chart 12">
          <a:extLst>
            <a:ext uri="{FF2B5EF4-FFF2-40B4-BE49-F238E27FC236}">
              <a16:creationId xmlns:a16="http://schemas.microsoft.com/office/drawing/2014/main" id="{499E2109-0E86-49CB-8D54-697C13105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0</xdr:colOff>
      <xdr:row>2</xdr:row>
      <xdr:rowOff>0</xdr:rowOff>
    </xdr:from>
    <xdr:to>
      <xdr:col>16</xdr:col>
      <xdr:colOff>472440</xdr:colOff>
      <xdr:row>13</xdr:row>
      <xdr:rowOff>68580</xdr:rowOff>
    </xdr:to>
    <xdr:graphicFrame macro="">
      <xdr:nvGraphicFramePr>
        <xdr:cNvPr id="18" name="Chart 17">
          <a:extLst>
            <a:ext uri="{FF2B5EF4-FFF2-40B4-BE49-F238E27FC236}">
              <a16:creationId xmlns:a16="http://schemas.microsoft.com/office/drawing/2014/main" id="{82DB0532-46AA-4F1E-8A52-4F5E428AB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594360</xdr:colOff>
      <xdr:row>2</xdr:row>
      <xdr:rowOff>0</xdr:rowOff>
    </xdr:from>
    <xdr:to>
      <xdr:col>20</xdr:col>
      <xdr:colOff>388620</xdr:colOff>
      <xdr:row>13</xdr:row>
      <xdr:rowOff>68580</xdr:rowOff>
    </xdr:to>
    <xdr:graphicFrame macro="">
      <xdr:nvGraphicFramePr>
        <xdr:cNvPr id="33" name="Chart 32">
          <a:extLst>
            <a:ext uri="{FF2B5EF4-FFF2-40B4-BE49-F238E27FC236}">
              <a16:creationId xmlns:a16="http://schemas.microsoft.com/office/drawing/2014/main" id="{0035C659-FF98-4362-9FC2-891F0A812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56.478952893522" backgroundQuery="1" createdVersion="8" refreshedVersion="8" minRefreshableVersion="3" recordCount="0" supportSubquery="1" supportAdvancedDrill="1" xr:uid="{A7E07D9B-7026-4251-8DB2-FBA5842EE4EB}">
  <cacheSource type="external" connectionId="1"/>
  <cacheFields count="3">
    <cacheField name="[customers].[City].[City]" caption="City" numFmtId="0" hierarchy="15" level="1">
      <sharedItems count="3">
        <s v="Cincinnati"/>
        <s v="Cleveland"/>
        <s v="Columbus"/>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53.511787384261" backgroundQuery="1" createdVersion="8" refreshedVersion="8" minRefreshableVersion="3" recordCount="0" supportSubquery="1" supportAdvancedDrill="1" xr:uid="{D1DAE0ED-1F9B-40DA-8F12-03AEB8A1BC94}">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rating]" caption="5 rating"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55.500105208332" backgroundQuery="1" createdVersion="8" refreshedVersion="8" minRefreshableVersion="3" recordCount="0" supportSubquery="1" supportAdvancedDrill="1" xr:uid="{0122B0AC-EEB0-423B-9F92-93D091E33D9B}">
  <cacheSource type="external" connectionId="1"/>
  <cacheFields count="3">
    <cacheField name="[Measures].[call count]" caption="call count" numFmtId="0" hierarchy="17" level="32767"/>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56.528236458333" backgroundQuery="1" createdVersion="8" refreshedVersion="8" minRefreshableVersion="3" recordCount="0" supportSubquery="1" supportAdvancedDrill="1" xr:uid="{72367E74-6674-4BB7-A35B-C628C0C39C3B}">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8" level="32767"/>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88.743881365743" backgroundQuery="1" createdVersion="8" refreshedVersion="8" minRefreshableVersion="3" recordCount="0" supportSubquery="1" supportAdvancedDrill="1" xr:uid="{8119C974-C38A-4C00-8EA7-CA8672A7B3F9}">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rating]" caption="5 rating"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88.743881712966" backgroundQuery="1" createdVersion="8" refreshedVersion="8" minRefreshableVersion="3" recordCount="0" supportSubquery="1" supportAdvancedDrill="1" xr:uid="{88F68F61-8C01-41DF-B8FF-531615D8859F}">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88.743882060182" backgroundQuery="1" createdVersion="8" refreshedVersion="8" minRefreshableVersion="3" recordCount="0" supportSubquery="1" supportAdvancedDrill="1" xr:uid="{849D5AF5-F735-4362-8FFA-240A1F68CD3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88.743882407405" backgroundQuery="1" createdVersion="8" refreshedVersion="8" minRefreshableVersion="3" recordCount="0" supportSubquery="1" supportAdvancedDrill="1" xr:uid="{941DDA95-53D5-4ADF-8245-8AF5854503AC}">
  <cacheSource type="external" connectionId="1"/>
  <cacheFields count="1">
    <cacheField name="[calls].[Representative].[Representative]" caption="Representative" numFmtId="0" hierarchy="3" level="1">
      <sharedItems count="1">
        <s v="R03"/>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88.743882870367" backgroundQuery="1" createdVersion="8" refreshedVersion="8" minRefreshableVersion="3" recordCount="0" supportSubquery="1" supportAdvancedDrill="1" xr:uid="{02895896-B6C8-4FB4-8FCC-2C707DB9FBC2}">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s" refreshedDate="46153.511782407404" backgroundQuery="1" createdVersion="3" refreshedVersion="8" minRefreshableVersion="3" recordCount="0" supportSubquery="1" supportAdvancedDrill="1" xr:uid="{27F5CF9B-723B-4998-BE18-28B69B4C4375}">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69223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8CE3BB-64E2-4DBE-906A-E230DCE20F5B}" name="Rep pivot"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01E3C-B352-4036-A2B1-438A95CFC95E}"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93257E-B2C3-480D-ABD7-C7E33383A362}" name="rep graph slicer" cacheId="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G27:G2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FDA10-E459-4974-9C4E-E8C8DCE747EE}" name="rep grpah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J21"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E84283-2B89-468A-9DB0-35F3410CC281}" name="PivotTable4"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31:H5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name="Sum of Purchase Amount" fld="2" baseField="0" baseItem="0" numFmtId="168"/>
  </dataFields>
  <formats count="12">
    <format dxfId="26">
      <pivotArea type="all" dataOnly="0" outline="0" fieldPosition="0"/>
    </format>
    <format dxfId="25">
      <pivotArea outline="0" collapsedLevelsAreSubtotals="1" fieldPosition="0"/>
    </format>
    <format dxfId="24">
      <pivotArea type="origin" dataOnly="0" labelOnly="1" outline="0" fieldPosition="0"/>
    </format>
    <format dxfId="23">
      <pivotArea field="3" type="button" dataOnly="0" labelOnly="1" outline="0" axis="axisCol" fieldPosition="0"/>
    </format>
    <format dxfId="22">
      <pivotArea type="topRight" dataOnly="0" labelOnly="1" outline="0"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fieldPosition="0">
        <references count="2">
          <reference field="0" count="1" selected="0">
            <x v="0"/>
          </reference>
          <reference field="1" count="4">
            <x v="0"/>
            <x v="1"/>
            <x v="2"/>
            <x v="3"/>
          </reference>
        </references>
      </pivotArea>
    </format>
    <format dxfId="18">
      <pivotArea dataOnly="0" labelOnly="1" fieldPosition="0">
        <references count="2">
          <reference field="0" count="1" selected="0">
            <x v="1"/>
          </reference>
          <reference field="1" count="6">
            <x v="4"/>
            <x v="5"/>
            <x v="6"/>
            <x v="7"/>
            <x v="8"/>
            <x v="9"/>
          </reference>
        </references>
      </pivotArea>
    </format>
    <format dxfId="17">
      <pivotArea dataOnly="0" labelOnly="1" fieldPosition="0">
        <references count="2">
          <reference field="0" count="1" selected="0">
            <x v="2"/>
          </reference>
          <reference field="1" count="5">
            <x v="10"/>
            <x v="11"/>
            <x v="12"/>
            <x v="13"/>
            <x v="14"/>
          </reference>
        </references>
      </pivotArea>
    </format>
    <format dxfId="16">
      <pivotArea dataOnly="0" labelOnly="1" fieldPosition="0">
        <references count="1">
          <reference field="3" count="0"/>
        </references>
      </pivotArea>
    </format>
    <format dxfId="15">
      <pivotArea dataOnly="0" labelOnly="1" grandCol="1" outline="0"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CA6B1F-3205-4393-B4C9-4B2818E619E5}" name="satisfaction chart"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J28:K3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C414A-5BBA-4AB1-8339-5135B01E7A5D}" name="week analysis"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E16:F24"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542B94-A119-4170-B05B-6DDF47EEAB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15:V20"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C2CFA1-C792-404D-A197-54AECA7E5848}" name="month trend pivot"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9"/>
          </reference>
        </references>
      </pivotArea>
    </chartFormat>
  </chartFormats>
  <pivotHierarchies count="3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D4D09A0-69D8-4567-94E2-FE6E9B4E1C42}" sourceName="[calls].[Representative]">
  <pivotTables>
    <pivotTable tabId="8" name="Rep pivot"/>
    <pivotTable tabId="8" name="month trend pivot"/>
    <pivotTable tabId="8" name="week analysis"/>
    <pivotTable tabId="8" name="rep graph slicer"/>
    <pivotTable tabId="8" name="satisfaction chart"/>
  </pivotTables>
  <data>
    <olap pivotCacheId="45692237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7294CB2-D072-4007-8647-566ED2FDD11F}"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446610C-284E-41DF-B9A3-8B3CC22DB922}" cache="Slicer_Representative" caption="Representative" level="1" style="SlicerStyleDark4 5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Custom 1">
      <a:majorFont>
        <a:latin typeface="Franklin Gothic Medium"/>
        <a:ea typeface=""/>
        <a:cs typeface=""/>
      </a:majorFont>
      <a:minorFont>
        <a:latin typeface="Franklin Gothic Book"/>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E8D3-CFA8-4DF2-8191-985ABB6EBCBE}">
  <dimension ref="A3:V50"/>
  <sheetViews>
    <sheetView topLeftCell="A10" workbookViewId="0">
      <selection activeCell="U21" sqref="U21"/>
    </sheetView>
  </sheetViews>
  <sheetFormatPr defaultRowHeight="15" x14ac:dyDescent="0.35"/>
  <cols>
    <col min="1" max="1" width="11.453125" bestFit="1" customWidth="1"/>
    <col min="2" max="2" width="8.453125" bestFit="1" customWidth="1"/>
    <col min="3" max="3" width="9.54296875" bestFit="1" customWidth="1"/>
    <col min="4" max="4" width="8.7265625" bestFit="1" customWidth="1"/>
    <col min="5" max="5" width="11.453125" bestFit="1" customWidth="1"/>
    <col min="6" max="6" width="8.453125" bestFit="1" customWidth="1"/>
    <col min="7" max="7" width="11.453125" bestFit="1" customWidth="1"/>
    <col min="8" max="8" width="10.26953125" bestFit="1" customWidth="1"/>
    <col min="9" max="9" width="8.453125" bestFit="1" customWidth="1"/>
    <col min="10" max="10" width="11.453125" bestFit="1" customWidth="1"/>
    <col min="11" max="11" width="8.453125" bestFit="1" customWidth="1"/>
    <col min="12" max="13" width="4.08984375" bestFit="1" customWidth="1"/>
    <col min="14" max="14" width="1.90625" bestFit="1" customWidth="1"/>
    <col min="15" max="22" width="4.08984375" bestFit="1" customWidth="1"/>
    <col min="23" max="23" width="1.90625" bestFit="1" customWidth="1"/>
    <col min="24" max="32" width="4.08984375" bestFit="1" customWidth="1"/>
    <col min="33" max="33" width="3" bestFit="1" customWidth="1"/>
    <col min="34" max="42" width="4.08984375" bestFit="1" customWidth="1"/>
    <col min="43" max="43" width="3" bestFit="1" customWidth="1"/>
    <col min="44" max="52" width="4.08984375" bestFit="1" customWidth="1"/>
    <col min="53" max="53" width="3" bestFit="1" customWidth="1"/>
    <col min="54" max="54" width="10.08984375" bestFit="1" customWidth="1"/>
  </cols>
  <sheetData>
    <row r="3" spans="1:22" x14ac:dyDescent="0.35">
      <c r="A3" t="s">
        <v>1042</v>
      </c>
      <c r="B3" t="s">
        <v>1043</v>
      </c>
      <c r="C3" t="s">
        <v>1044</v>
      </c>
      <c r="D3" t="s">
        <v>1045</v>
      </c>
      <c r="E3" t="s">
        <v>1046</v>
      </c>
    </row>
    <row r="4" spans="1:22" x14ac:dyDescent="0.35">
      <c r="A4" s="20">
        <v>1000</v>
      </c>
      <c r="B4" s="21">
        <v>96623</v>
      </c>
      <c r="C4" s="20">
        <v>89850</v>
      </c>
      <c r="D4" s="22">
        <v>3.8854000000000033</v>
      </c>
      <c r="E4" s="23">
        <v>307</v>
      </c>
    </row>
    <row r="8" spans="1:22" x14ac:dyDescent="0.35">
      <c r="A8" t="s">
        <v>1042</v>
      </c>
      <c r="B8" t="s">
        <v>1043</v>
      </c>
      <c r="C8" t="s">
        <v>1044</v>
      </c>
      <c r="D8" t="s">
        <v>1045</v>
      </c>
      <c r="E8" t="s">
        <v>1046</v>
      </c>
    </row>
    <row r="9" spans="1:22" x14ac:dyDescent="0.35">
      <c r="A9" s="20">
        <v>207</v>
      </c>
      <c r="B9" s="21">
        <v>20872</v>
      </c>
      <c r="C9" s="20">
        <v>17700</v>
      </c>
      <c r="D9" s="22">
        <v>3.8589371980676304</v>
      </c>
      <c r="E9" s="23">
        <v>60</v>
      </c>
    </row>
    <row r="12" spans="1:22" x14ac:dyDescent="0.35">
      <c r="O12" t="s">
        <v>1074</v>
      </c>
      <c r="P12" t="str">
        <f>G28</f>
        <v>R03</v>
      </c>
    </row>
    <row r="14" spans="1:22" x14ac:dyDescent="0.35">
      <c r="A14" s="24" t="s">
        <v>1047</v>
      </c>
      <c r="B14" t="s">
        <v>1042</v>
      </c>
      <c r="C14" t="s">
        <v>1061</v>
      </c>
    </row>
    <row r="15" spans="1:22" x14ac:dyDescent="0.35">
      <c r="A15" s="25" t="s">
        <v>1049</v>
      </c>
      <c r="B15" s="20">
        <v>13</v>
      </c>
      <c r="C15" s="20">
        <v>13</v>
      </c>
      <c r="H15" s="24" t="s">
        <v>1047</v>
      </c>
      <c r="I15" t="s">
        <v>1042</v>
      </c>
      <c r="J15" t="s">
        <v>1043</v>
      </c>
      <c r="L15" t="s">
        <v>1069</v>
      </c>
      <c r="M15" t="s">
        <v>1070</v>
      </c>
      <c r="N15" t="s">
        <v>1071</v>
      </c>
      <c r="O15" t="s">
        <v>1072</v>
      </c>
      <c r="P15" t="s">
        <v>1073</v>
      </c>
      <c r="S15" s="24" t="s">
        <v>1042</v>
      </c>
      <c r="T15" s="24" t="s">
        <v>1075</v>
      </c>
    </row>
    <row r="16" spans="1:22" x14ac:dyDescent="0.35">
      <c r="A16" s="25" t="s">
        <v>1050</v>
      </c>
      <c r="B16" s="20">
        <v>13</v>
      </c>
      <c r="C16" s="20">
        <v>13</v>
      </c>
      <c r="E16" s="24" t="s">
        <v>1047</v>
      </c>
      <c r="F16" t="s">
        <v>1042</v>
      </c>
      <c r="H16" s="25" t="s">
        <v>11</v>
      </c>
      <c r="I16" s="20">
        <v>189</v>
      </c>
      <c r="J16" s="21">
        <v>18415</v>
      </c>
      <c r="L16" t="str" cm="1">
        <f t="array" ref="L16:N20">H16:J20</f>
        <v>R01</v>
      </c>
      <c r="M16">
        <v>189</v>
      </c>
      <c r="N16" s="26">
        <v>18415</v>
      </c>
      <c r="O16" t="e">
        <f>IF(L16=$P$12,M16,NA())</f>
        <v>#N/A</v>
      </c>
      <c r="P16" t="e">
        <f>IF(L16=$P$12,N16,NA())</f>
        <v>#N/A</v>
      </c>
      <c r="S16" s="24" t="s">
        <v>1047</v>
      </c>
      <c r="T16" t="s">
        <v>999</v>
      </c>
      <c r="U16" t="s">
        <v>998</v>
      </c>
      <c r="V16" t="s">
        <v>1048</v>
      </c>
    </row>
    <row r="17" spans="1:22" x14ac:dyDescent="0.35">
      <c r="A17" s="25" t="s">
        <v>1051</v>
      </c>
      <c r="B17" s="20">
        <v>28</v>
      </c>
      <c r="C17" s="20">
        <v>28</v>
      </c>
      <c r="E17" s="25" t="s">
        <v>1063</v>
      </c>
      <c r="F17" s="20">
        <v>34</v>
      </c>
      <c r="H17" s="25" t="s">
        <v>9</v>
      </c>
      <c r="I17" s="20">
        <v>218</v>
      </c>
      <c r="J17" s="21">
        <v>20581</v>
      </c>
      <c r="L17" t="str">
        <v>R02</v>
      </c>
      <c r="M17">
        <v>218</v>
      </c>
      <c r="N17" s="26">
        <v>20581</v>
      </c>
      <c r="O17" t="e">
        <f t="shared" ref="O17:O20" si="0">IF(L17=$P$12,M17,NA())</f>
        <v>#N/A</v>
      </c>
      <c r="P17" t="e">
        <f t="shared" ref="P17:P20" si="1">IF(L17=$P$12,N17,NA())</f>
        <v>#N/A</v>
      </c>
      <c r="S17" s="25" t="s">
        <v>1002</v>
      </c>
      <c r="T17" s="20">
        <v>144</v>
      </c>
      <c r="U17" s="20">
        <v>132</v>
      </c>
      <c r="V17" s="20">
        <v>276</v>
      </c>
    </row>
    <row r="18" spans="1:22" x14ac:dyDescent="0.35">
      <c r="A18" s="25" t="s">
        <v>1052</v>
      </c>
      <c r="B18" s="20">
        <v>24</v>
      </c>
      <c r="C18" s="20">
        <v>24</v>
      </c>
      <c r="E18" s="25" t="s">
        <v>1067</v>
      </c>
      <c r="F18" s="20">
        <v>26</v>
      </c>
      <c r="H18" s="25" t="s">
        <v>6</v>
      </c>
      <c r="I18" s="20">
        <v>207</v>
      </c>
      <c r="J18" s="21">
        <v>20872</v>
      </c>
      <c r="L18" t="str">
        <v>R03</v>
      </c>
      <c r="M18">
        <v>207</v>
      </c>
      <c r="N18" s="26">
        <v>20872</v>
      </c>
      <c r="O18">
        <f t="shared" si="0"/>
        <v>207</v>
      </c>
      <c r="P18">
        <f t="shared" si="1"/>
        <v>20872</v>
      </c>
      <c r="S18" s="25" t="s">
        <v>1001</v>
      </c>
      <c r="T18" s="20">
        <v>326</v>
      </c>
      <c r="U18" s="20">
        <v>63</v>
      </c>
      <c r="V18" s="20">
        <v>389</v>
      </c>
    </row>
    <row r="19" spans="1:22" x14ac:dyDescent="0.35">
      <c r="A19" s="25" t="s">
        <v>1053</v>
      </c>
      <c r="B19" s="20">
        <v>23</v>
      </c>
      <c r="C19" s="20">
        <v>23</v>
      </c>
      <c r="E19" s="25" t="s">
        <v>1068</v>
      </c>
      <c r="F19" s="20">
        <v>38</v>
      </c>
      <c r="H19" s="25" t="s">
        <v>13</v>
      </c>
      <c r="I19" s="20">
        <v>186</v>
      </c>
      <c r="J19" s="21">
        <v>16651</v>
      </c>
      <c r="L19" t="str">
        <v>R04</v>
      </c>
      <c r="M19">
        <v>186</v>
      </c>
      <c r="N19" s="26">
        <v>16651</v>
      </c>
      <c r="O19" t="e">
        <f t="shared" si="0"/>
        <v>#N/A</v>
      </c>
      <c r="P19" t="e">
        <f t="shared" si="1"/>
        <v>#N/A</v>
      </c>
      <c r="S19" s="25" t="s">
        <v>1000</v>
      </c>
      <c r="T19" s="20">
        <v>129</v>
      </c>
      <c r="U19" s="20">
        <v>206</v>
      </c>
      <c r="V19" s="20">
        <v>335</v>
      </c>
    </row>
    <row r="20" spans="1:22" x14ac:dyDescent="0.35">
      <c r="A20" s="25" t="s">
        <v>1054</v>
      </c>
      <c r="B20" s="20">
        <v>17</v>
      </c>
      <c r="C20" s="20">
        <v>17</v>
      </c>
      <c r="E20" s="25" t="s">
        <v>1066</v>
      </c>
      <c r="F20" s="20">
        <v>27</v>
      </c>
      <c r="H20" s="25" t="s">
        <v>10</v>
      </c>
      <c r="I20" s="20">
        <v>200</v>
      </c>
      <c r="J20" s="21">
        <v>20104</v>
      </c>
      <c r="L20" t="str">
        <v>R05</v>
      </c>
      <c r="M20">
        <v>200</v>
      </c>
      <c r="N20" s="26">
        <v>20104</v>
      </c>
      <c r="O20" t="e">
        <f t="shared" si="0"/>
        <v>#N/A</v>
      </c>
      <c r="P20" t="e">
        <f t="shared" si="1"/>
        <v>#N/A</v>
      </c>
      <c r="S20" s="25" t="s">
        <v>1048</v>
      </c>
      <c r="T20" s="20">
        <v>599</v>
      </c>
      <c r="U20" s="20">
        <v>401</v>
      </c>
      <c r="V20" s="20">
        <v>1000</v>
      </c>
    </row>
    <row r="21" spans="1:22" x14ac:dyDescent="0.35">
      <c r="A21" s="25" t="s">
        <v>1055</v>
      </c>
      <c r="B21" s="20">
        <v>11</v>
      </c>
      <c r="C21" s="20">
        <v>11</v>
      </c>
      <c r="E21" s="25" t="s">
        <v>1062</v>
      </c>
      <c r="F21" s="20">
        <v>27</v>
      </c>
      <c r="H21" s="25" t="s">
        <v>1048</v>
      </c>
      <c r="I21" s="20">
        <v>1000</v>
      </c>
      <c r="J21" s="21">
        <v>96623</v>
      </c>
    </row>
    <row r="22" spans="1:22" x14ac:dyDescent="0.35">
      <c r="A22" s="25" t="s">
        <v>1056</v>
      </c>
      <c r="B22" s="20">
        <v>11</v>
      </c>
      <c r="C22" s="20">
        <v>11</v>
      </c>
      <c r="E22" s="25" t="s">
        <v>1064</v>
      </c>
      <c r="F22" s="20">
        <v>25</v>
      </c>
    </row>
    <row r="23" spans="1:22" x14ac:dyDescent="0.35">
      <c r="A23" s="25" t="s">
        <v>1057</v>
      </c>
      <c r="B23" s="20">
        <v>14</v>
      </c>
      <c r="C23" s="20">
        <v>14</v>
      </c>
      <c r="E23" s="25" t="s">
        <v>1065</v>
      </c>
      <c r="F23" s="20">
        <v>30</v>
      </c>
    </row>
    <row r="24" spans="1:22" x14ac:dyDescent="0.35">
      <c r="A24" s="25" t="s">
        <v>1058</v>
      </c>
      <c r="B24" s="20">
        <v>30</v>
      </c>
      <c r="C24" s="20">
        <v>30</v>
      </c>
      <c r="E24" s="25" t="s">
        <v>1048</v>
      </c>
      <c r="F24" s="20">
        <v>207</v>
      </c>
    </row>
    <row r="25" spans="1:22" x14ac:dyDescent="0.35">
      <c r="A25" s="25" t="s">
        <v>1059</v>
      </c>
      <c r="B25" s="20">
        <v>14</v>
      </c>
      <c r="C25" s="20">
        <v>14</v>
      </c>
    </row>
    <row r="26" spans="1:22" x14ac:dyDescent="0.35">
      <c r="A26" s="25" t="s">
        <v>1060</v>
      </c>
      <c r="B26" s="20">
        <v>9</v>
      </c>
      <c r="C26" s="20">
        <v>9</v>
      </c>
    </row>
    <row r="27" spans="1:22" x14ac:dyDescent="0.35">
      <c r="A27" s="25" t="s">
        <v>1048</v>
      </c>
      <c r="B27" s="20">
        <v>207</v>
      </c>
      <c r="C27" s="20">
        <v>207</v>
      </c>
      <c r="G27" s="24" t="s">
        <v>1047</v>
      </c>
    </row>
    <row r="28" spans="1:22" x14ac:dyDescent="0.35">
      <c r="G28" s="25" t="s">
        <v>6</v>
      </c>
      <c r="J28" s="24" t="s">
        <v>1047</v>
      </c>
      <c r="K28" t="s">
        <v>1042</v>
      </c>
    </row>
    <row r="29" spans="1:22" x14ac:dyDescent="0.35">
      <c r="J29" s="25">
        <v>0</v>
      </c>
      <c r="K29" s="20">
        <v>1</v>
      </c>
    </row>
    <row r="30" spans="1:22" x14ac:dyDescent="0.35">
      <c r="J30" s="25">
        <v>1</v>
      </c>
      <c r="K30" s="20">
        <v>1</v>
      </c>
    </row>
    <row r="31" spans="1:22" x14ac:dyDescent="0.35">
      <c r="B31" s="27" t="s">
        <v>1076</v>
      </c>
      <c r="C31" s="27" t="s">
        <v>1075</v>
      </c>
      <c r="D31" s="28"/>
      <c r="E31" s="28"/>
      <c r="F31" s="28"/>
      <c r="G31" s="28"/>
      <c r="H31" s="28"/>
      <c r="J31" s="25">
        <v>2</v>
      </c>
      <c r="K31" s="20">
        <v>11</v>
      </c>
    </row>
    <row r="32" spans="1:22" x14ac:dyDescent="0.35">
      <c r="B32" s="27" t="s">
        <v>1047</v>
      </c>
      <c r="C32" s="28" t="s">
        <v>11</v>
      </c>
      <c r="D32" s="28" t="s">
        <v>9</v>
      </c>
      <c r="E32" s="28" t="s">
        <v>6</v>
      </c>
      <c r="F32" s="28" t="s">
        <v>13</v>
      </c>
      <c r="G32" s="28" t="s">
        <v>10</v>
      </c>
      <c r="H32" s="28" t="s">
        <v>1048</v>
      </c>
      <c r="J32" s="25">
        <v>3</v>
      </c>
      <c r="K32" s="20">
        <v>46</v>
      </c>
    </row>
    <row r="33" spans="2:11" x14ac:dyDescent="0.35">
      <c r="B33" s="29" t="s">
        <v>1002</v>
      </c>
      <c r="C33" s="28"/>
      <c r="D33" s="28"/>
      <c r="E33" s="28"/>
      <c r="F33" s="28"/>
      <c r="G33" s="28"/>
      <c r="H33" s="28"/>
      <c r="J33" s="25">
        <v>4</v>
      </c>
      <c r="K33" s="20">
        <v>88</v>
      </c>
    </row>
    <row r="34" spans="2:11" x14ac:dyDescent="0.35">
      <c r="B34" s="30" t="s">
        <v>20</v>
      </c>
      <c r="C34" s="28">
        <v>891</v>
      </c>
      <c r="D34" s="28">
        <v>1332</v>
      </c>
      <c r="E34" s="28">
        <v>1282</v>
      </c>
      <c r="F34" s="28">
        <v>739</v>
      </c>
      <c r="G34" s="28">
        <v>560</v>
      </c>
      <c r="H34" s="28">
        <v>4804</v>
      </c>
      <c r="J34" s="25">
        <v>5</v>
      </c>
      <c r="K34" s="20">
        <v>60</v>
      </c>
    </row>
    <row r="35" spans="2:11" x14ac:dyDescent="0.35">
      <c r="B35" s="30" t="s">
        <v>12</v>
      </c>
      <c r="C35" s="28">
        <v>1991</v>
      </c>
      <c r="D35" s="28">
        <v>1886</v>
      </c>
      <c r="E35" s="28">
        <v>1206</v>
      </c>
      <c r="F35" s="28">
        <v>884</v>
      </c>
      <c r="G35" s="28">
        <v>1722</v>
      </c>
      <c r="H35" s="28">
        <v>7689</v>
      </c>
      <c r="J35" s="25" t="s">
        <v>1048</v>
      </c>
      <c r="K35" s="20">
        <v>207</v>
      </c>
    </row>
    <row r="36" spans="2:11" x14ac:dyDescent="0.35">
      <c r="B36" s="30" t="s">
        <v>8</v>
      </c>
      <c r="C36" s="28">
        <v>1163</v>
      </c>
      <c r="D36" s="28">
        <v>1180</v>
      </c>
      <c r="E36" s="28">
        <v>1616</v>
      </c>
      <c r="F36" s="28">
        <v>1043</v>
      </c>
      <c r="G36" s="28">
        <v>1747</v>
      </c>
      <c r="H36" s="28">
        <v>6749</v>
      </c>
    </row>
    <row r="37" spans="2:11" x14ac:dyDescent="0.35">
      <c r="B37" s="30" t="s">
        <v>16</v>
      </c>
      <c r="C37" s="28">
        <v>1438</v>
      </c>
      <c r="D37" s="28">
        <v>1616</v>
      </c>
      <c r="E37" s="28">
        <v>866</v>
      </c>
      <c r="F37" s="28">
        <v>829</v>
      </c>
      <c r="G37" s="28">
        <v>2070</v>
      </c>
      <c r="H37" s="28">
        <v>6819</v>
      </c>
    </row>
    <row r="38" spans="2:11" x14ac:dyDescent="0.35">
      <c r="B38" s="29" t="s">
        <v>1001</v>
      </c>
      <c r="C38" s="28"/>
      <c r="D38" s="28"/>
      <c r="E38" s="28"/>
      <c r="F38" s="28"/>
      <c r="G38" s="28"/>
      <c r="H38" s="28"/>
    </row>
    <row r="39" spans="2:11" x14ac:dyDescent="0.35">
      <c r="B39" s="30" t="s">
        <v>24</v>
      </c>
      <c r="C39" s="28">
        <v>1233</v>
      </c>
      <c r="D39" s="28">
        <v>223</v>
      </c>
      <c r="E39" s="28">
        <v>1680</v>
      </c>
      <c r="F39" s="28">
        <v>990</v>
      </c>
      <c r="G39" s="28">
        <v>1508</v>
      </c>
      <c r="H39" s="28">
        <v>5634</v>
      </c>
    </row>
    <row r="40" spans="2:11" x14ac:dyDescent="0.35">
      <c r="B40" s="30" t="s">
        <v>15</v>
      </c>
      <c r="C40" s="28">
        <v>1598</v>
      </c>
      <c r="D40" s="28">
        <v>1907</v>
      </c>
      <c r="E40" s="28">
        <v>869</v>
      </c>
      <c r="F40" s="28">
        <v>1426</v>
      </c>
      <c r="G40" s="28">
        <v>1416</v>
      </c>
      <c r="H40" s="28">
        <v>7216</v>
      </c>
    </row>
    <row r="41" spans="2:11" x14ac:dyDescent="0.35">
      <c r="B41" s="30" t="s">
        <v>5</v>
      </c>
      <c r="C41" s="28">
        <v>900</v>
      </c>
      <c r="D41" s="28">
        <v>1016</v>
      </c>
      <c r="E41" s="28">
        <v>960</v>
      </c>
      <c r="F41" s="28">
        <v>940</v>
      </c>
      <c r="G41" s="28">
        <v>1193</v>
      </c>
      <c r="H41" s="28">
        <v>5009</v>
      </c>
    </row>
    <row r="42" spans="2:11" x14ac:dyDescent="0.35">
      <c r="B42" s="30" t="s">
        <v>18</v>
      </c>
      <c r="C42" s="28">
        <v>900</v>
      </c>
      <c r="D42" s="28">
        <v>1470</v>
      </c>
      <c r="E42" s="28">
        <v>1617</v>
      </c>
      <c r="F42" s="28">
        <v>1314</v>
      </c>
      <c r="G42" s="28">
        <v>941</v>
      </c>
      <c r="H42" s="28">
        <v>6242</v>
      </c>
    </row>
    <row r="43" spans="2:11" x14ac:dyDescent="0.35">
      <c r="B43" s="30" t="s">
        <v>14</v>
      </c>
      <c r="C43" s="28">
        <v>1255</v>
      </c>
      <c r="D43" s="28">
        <v>516</v>
      </c>
      <c r="E43" s="28">
        <v>1874</v>
      </c>
      <c r="F43" s="28">
        <v>1863</v>
      </c>
      <c r="G43" s="28">
        <v>1722</v>
      </c>
      <c r="H43" s="28">
        <v>7230</v>
      </c>
    </row>
    <row r="44" spans="2:11" x14ac:dyDescent="0.35">
      <c r="B44" s="30" t="s">
        <v>19</v>
      </c>
      <c r="C44" s="28">
        <v>1138</v>
      </c>
      <c r="D44" s="28">
        <v>1898</v>
      </c>
      <c r="E44" s="28">
        <v>1482</v>
      </c>
      <c r="F44" s="28">
        <v>846</v>
      </c>
      <c r="G44" s="28">
        <v>1154</v>
      </c>
      <c r="H44" s="28">
        <v>6518</v>
      </c>
    </row>
    <row r="45" spans="2:11" x14ac:dyDescent="0.35">
      <c r="B45" s="29" t="s">
        <v>1000</v>
      </c>
      <c r="C45" s="28"/>
      <c r="D45" s="28"/>
      <c r="E45" s="28"/>
      <c r="F45" s="28"/>
      <c r="G45" s="28"/>
      <c r="H45" s="28"/>
    </row>
    <row r="46" spans="2:11" x14ac:dyDescent="0.35">
      <c r="B46" s="30" t="s">
        <v>17</v>
      </c>
      <c r="C46" s="28">
        <v>1655</v>
      </c>
      <c r="D46" s="28">
        <v>805</v>
      </c>
      <c r="E46" s="28">
        <v>2263</v>
      </c>
      <c r="F46" s="28">
        <v>987</v>
      </c>
      <c r="G46" s="28">
        <v>1075</v>
      </c>
      <c r="H46" s="28">
        <v>6785</v>
      </c>
    </row>
    <row r="47" spans="2:11" x14ac:dyDescent="0.35">
      <c r="B47" s="30" t="s">
        <v>23</v>
      </c>
      <c r="C47" s="28">
        <v>1104</v>
      </c>
      <c r="D47" s="28">
        <v>2280</v>
      </c>
      <c r="E47" s="28">
        <v>1445</v>
      </c>
      <c r="F47" s="28">
        <v>1722</v>
      </c>
      <c r="G47" s="28">
        <v>1196</v>
      </c>
      <c r="H47" s="28">
        <v>7747</v>
      </c>
    </row>
    <row r="48" spans="2:11" x14ac:dyDescent="0.35">
      <c r="B48" s="30" t="s">
        <v>7</v>
      </c>
      <c r="C48" s="28">
        <v>372</v>
      </c>
      <c r="D48" s="28">
        <v>1818</v>
      </c>
      <c r="E48" s="28">
        <v>1346</v>
      </c>
      <c r="F48" s="28">
        <v>1156</v>
      </c>
      <c r="G48" s="28">
        <v>1484</v>
      </c>
      <c r="H48" s="28">
        <v>6176</v>
      </c>
    </row>
    <row r="49" spans="2:8" x14ac:dyDescent="0.35">
      <c r="B49" s="30" t="s">
        <v>22</v>
      </c>
      <c r="C49" s="28">
        <v>1415</v>
      </c>
      <c r="D49" s="28">
        <v>1271</v>
      </c>
      <c r="E49" s="28">
        <v>1214</v>
      </c>
      <c r="F49" s="28">
        <v>1135</v>
      </c>
      <c r="G49" s="28">
        <v>1566</v>
      </c>
      <c r="H49" s="28">
        <v>6601</v>
      </c>
    </row>
    <row r="50" spans="2:8" x14ac:dyDescent="0.35">
      <c r="B50" s="30" t="s">
        <v>21</v>
      </c>
      <c r="C50" s="28">
        <v>1362</v>
      </c>
      <c r="D50" s="28">
        <v>1363</v>
      </c>
      <c r="E50" s="28">
        <v>1152</v>
      </c>
      <c r="F50" s="28">
        <v>777</v>
      </c>
      <c r="G50" s="28">
        <v>750</v>
      </c>
      <c r="H50" s="28">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753" zoomScale="90" zoomScaleNormal="115" workbookViewId="0">
      <selection activeCell="M854" sqref="M854"/>
    </sheetView>
  </sheetViews>
  <sheetFormatPr defaultRowHeight="15" x14ac:dyDescent="0.35"/>
  <cols>
    <col min="1" max="1" width="2.90625" customWidth="1"/>
    <col min="2" max="2" width="14.54296875" customWidth="1"/>
    <col min="3" max="3" width="12.81640625" customWidth="1"/>
    <col min="4" max="4" width="16.54296875" customWidth="1"/>
    <col min="5" max="5" width="14.90625" customWidth="1"/>
    <col min="6" max="6" width="16" customWidth="1"/>
    <col min="7" max="7" width="17.1796875" customWidth="1"/>
    <col min="8" max="8" width="18.36328125" customWidth="1"/>
    <col min="9" max="9" width="17.1796875" customWidth="1"/>
    <col min="10" max="12" width="15.453125" customWidth="1"/>
    <col min="13" max="16" width="7.453125" customWidth="1"/>
    <col min="17" max="17" width="14.54296875" customWidth="1"/>
    <col min="20" max="20" width="10.5429687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B14" sqref="B14"/>
    </sheetView>
  </sheetViews>
  <sheetFormatPr defaultRowHeight="15" x14ac:dyDescent="0.35"/>
  <cols>
    <col min="5" max="5" width="10.81640625" customWidth="1"/>
    <col min="6" max="6" width="9.81640625" customWidth="1"/>
  </cols>
  <sheetData>
    <row r="2" spans="5:6" x14ac:dyDescent="0.35">
      <c r="E2" t="s">
        <v>1040</v>
      </c>
      <c r="F2" t="s">
        <v>1041</v>
      </c>
    </row>
    <row r="3" spans="5:6" ht="25.5" customHeight="1" x14ac:dyDescent="0.35">
      <c r="E3" t="s">
        <v>11</v>
      </c>
      <c r="F3" t="e" vm="1">
        <v>#VALUE!</v>
      </c>
    </row>
    <row r="4" spans="5:6" ht="25.5" customHeight="1" x14ac:dyDescent="0.35">
      <c r="E4" t="s">
        <v>9</v>
      </c>
      <c r="F4" t="e" vm="2">
        <v>#VALUE!</v>
      </c>
    </row>
    <row r="5" spans="5:6" ht="25.5" customHeight="1" x14ac:dyDescent="0.35">
      <c r="E5" t="s">
        <v>6</v>
      </c>
      <c r="F5" t="e" vm="3">
        <v>#VALUE!</v>
      </c>
    </row>
    <row r="6" spans="5:6" ht="25.5" customHeight="1" x14ac:dyDescent="0.35">
      <c r="E6" t="s">
        <v>13</v>
      </c>
      <c r="F6" t="e" vm="4">
        <v>#VALUE!</v>
      </c>
    </row>
    <row r="7" spans="5:6" ht="25.5" customHeight="1" x14ac:dyDescent="0.35">
      <c r="E7" t="s">
        <v>10</v>
      </c>
      <c r="F7" t="e" vm="5">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1043-AC56-44D9-B94A-D5DDE0040BFA}">
  <dimension ref="A1:AL138"/>
  <sheetViews>
    <sheetView tabSelected="1" zoomScaleNormal="100" workbookViewId="0">
      <selection activeCell="L35" sqref="L35"/>
    </sheetView>
  </sheetViews>
  <sheetFormatPr defaultRowHeight="15" x14ac:dyDescent="0.35"/>
  <cols>
    <col min="1" max="1" width="4.54296875" style="32" customWidth="1"/>
    <col min="2" max="2" width="4.453125" style="32" customWidth="1"/>
    <col min="3" max="13" width="8.7265625" style="32"/>
    <col min="14" max="14" width="11.36328125" style="32" customWidth="1"/>
    <col min="15" max="16384" width="8.7265625" style="32"/>
  </cols>
  <sheetData>
    <row r="1" spans="1:38" x14ac:dyDescent="0.35">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row>
    <row r="2" spans="1:38" x14ac:dyDescent="0.35">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row>
    <row r="3" spans="1:38" x14ac:dyDescent="0.35">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row>
    <row r="4" spans="1:38" x14ac:dyDescent="0.3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row>
    <row r="5" spans="1:38" x14ac:dyDescent="0.3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row>
    <row r="6" spans="1:38" x14ac:dyDescent="0.3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row>
    <row r="7" spans="1:38" x14ac:dyDescent="0.35">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row>
    <row r="8" spans="1:38" x14ac:dyDescent="0.35">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row>
    <row r="9" spans="1:38" x14ac:dyDescent="0.35">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row>
    <row r="10" spans="1:38" x14ac:dyDescent="0.35">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row>
    <row r="11" spans="1:38" x14ac:dyDescent="0.3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row>
    <row r="12" spans="1:38" x14ac:dyDescent="0.35">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row>
    <row r="13" spans="1:38" x14ac:dyDescent="0.35">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row>
    <row r="14" spans="1:38" x14ac:dyDescent="0.35">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row>
    <row r="15" spans="1:38" x14ac:dyDescent="0.35">
      <c r="A15" s="31"/>
      <c r="B15" s="31"/>
      <c r="C15" s="31"/>
      <c r="D15" s="31"/>
      <c r="E15" s="31"/>
      <c r="F15" s="31"/>
      <c r="G15" s="31"/>
      <c r="H15" s="31"/>
      <c r="I15" s="31"/>
      <c r="J15" s="31"/>
      <c r="K15" s="31"/>
      <c r="L15" s="31"/>
      <c r="M15" s="31"/>
      <c r="N15" s="33"/>
      <c r="O15" s="34" t="str" cm="1">
        <f t="array" ref="O15:S15">pivots!C32:G32</f>
        <v>R01</v>
      </c>
      <c r="P15" s="34" t="str">
        <v>R02</v>
      </c>
      <c r="Q15" s="34" t="str">
        <v>R03</v>
      </c>
      <c r="R15" s="34" t="str">
        <v>R04</v>
      </c>
      <c r="S15" s="34" t="str">
        <v>R05</v>
      </c>
      <c r="T15" s="35"/>
      <c r="U15" s="31"/>
      <c r="V15" s="31"/>
      <c r="W15" s="31"/>
      <c r="X15" s="31"/>
      <c r="Y15" s="31"/>
      <c r="Z15" s="31"/>
      <c r="AA15" s="31"/>
      <c r="AB15" s="31"/>
      <c r="AC15" s="31"/>
      <c r="AD15" s="31"/>
      <c r="AE15" s="31"/>
      <c r="AF15" s="31"/>
      <c r="AG15" s="31"/>
      <c r="AH15" s="31"/>
      <c r="AI15" s="31"/>
      <c r="AJ15" s="31"/>
      <c r="AK15" s="31"/>
      <c r="AL15" s="31"/>
    </row>
    <row r="16" spans="1:38" x14ac:dyDescent="0.35">
      <c r="A16" s="31"/>
      <c r="B16" s="31"/>
      <c r="C16" s="31"/>
      <c r="D16" s="31"/>
      <c r="E16" s="31"/>
      <c r="F16" s="31"/>
      <c r="G16" s="31"/>
      <c r="H16" s="31"/>
      <c r="I16" s="31"/>
      <c r="J16" s="31"/>
      <c r="K16" s="31"/>
      <c r="L16" s="31"/>
      <c r="M16" s="31"/>
      <c r="N16" s="36" t="str" cm="1">
        <f t="array" ref="N16:T33">IF(pivots!B33:H50="","",pivots!B33:H50)</f>
        <v>Cincinnati</v>
      </c>
      <c r="O16" s="37" t="str">
        <v/>
      </c>
      <c r="P16" s="37" t="str">
        <v/>
      </c>
      <c r="Q16" s="37" t="str">
        <v/>
      </c>
      <c r="R16" s="37" t="str">
        <v/>
      </c>
      <c r="S16" s="37" t="str">
        <v/>
      </c>
      <c r="T16" s="38" t="str">
        <v/>
      </c>
      <c r="U16" s="31"/>
      <c r="V16" s="31"/>
      <c r="W16" s="31"/>
      <c r="X16" s="31"/>
      <c r="Y16" s="31"/>
      <c r="Z16" s="31"/>
      <c r="AA16" s="31"/>
      <c r="AB16" s="31"/>
      <c r="AC16" s="31"/>
      <c r="AD16" s="31"/>
      <c r="AE16" s="31"/>
      <c r="AF16" s="31"/>
      <c r="AG16" s="31"/>
      <c r="AH16" s="31"/>
      <c r="AI16" s="31"/>
      <c r="AJ16" s="31"/>
      <c r="AK16" s="31"/>
      <c r="AL16" s="31"/>
    </row>
    <row r="17" spans="1:38" x14ac:dyDescent="0.35">
      <c r="A17" s="31"/>
      <c r="B17" s="31"/>
      <c r="C17" s="31"/>
      <c r="D17" s="31"/>
      <c r="E17" s="31"/>
      <c r="F17" s="31"/>
      <c r="G17" s="31"/>
      <c r="H17" s="31"/>
      <c r="I17" s="31"/>
      <c r="J17" s="31"/>
      <c r="K17" s="31"/>
      <c r="L17" s="31"/>
      <c r="M17" s="31"/>
      <c r="N17" s="39" t="str">
        <v>C0003</v>
      </c>
      <c r="O17" s="40">
        <v>891</v>
      </c>
      <c r="P17" s="40">
        <v>1332</v>
      </c>
      <c r="Q17" s="40">
        <v>1282</v>
      </c>
      <c r="R17" s="40">
        <v>739</v>
      </c>
      <c r="S17" s="40">
        <v>560</v>
      </c>
      <c r="T17" s="41">
        <v>4804</v>
      </c>
      <c r="U17" s="31"/>
      <c r="V17" s="31"/>
      <c r="W17" s="31"/>
      <c r="X17" s="31"/>
      <c r="Y17" s="31"/>
      <c r="Z17" s="31"/>
      <c r="AA17" s="31"/>
      <c r="AB17" s="31"/>
      <c r="AC17" s="31"/>
      <c r="AD17" s="31"/>
      <c r="AE17" s="31"/>
      <c r="AF17" s="31"/>
      <c r="AG17" s="31"/>
      <c r="AH17" s="31"/>
      <c r="AI17" s="31"/>
      <c r="AJ17" s="31"/>
      <c r="AK17" s="31"/>
      <c r="AL17" s="31"/>
    </row>
    <row r="18" spans="1:38" x14ac:dyDescent="0.35">
      <c r="A18" s="31"/>
      <c r="B18" s="31"/>
      <c r="C18" s="31"/>
      <c r="D18" s="31"/>
      <c r="E18" s="31"/>
      <c r="F18" s="31"/>
      <c r="G18" s="31"/>
      <c r="H18" s="31"/>
      <c r="I18" s="31"/>
      <c r="J18" s="31"/>
      <c r="K18" s="31"/>
      <c r="L18" s="31"/>
      <c r="M18" s="31"/>
      <c r="N18" s="39" t="str">
        <v>C0004</v>
      </c>
      <c r="O18" s="40">
        <v>1991</v>
      </c>
      <c r="P18" s="40">
        <v>1886</v>
      </c>
      <c r="Q18" s="40">
        <v>1206</v>
      </c>
      <c r="R18" s="40">
        <v>884</v>
      </c>
      <c r="S18" s="40">
        <v>1722</v>
      </c>
      <c r="T18" s="41">
        <v>7689</v>
      </c>
      <c r="U18" s="31"/>
      <c r="V18" s="31"/>
      <c r="W18" s="31"/>
      <c r="X18" s="31"/>
      <c r="Y18" s="31"/>
      <c r="Z18" s="31"/>
      <c r="AA18" s="31"/>
      <c r="AB18" s="31"/>
      <c r="AC18" s="31"/>
      <c r="AD18" s="31"/>
      <c r="AE18" s="31"/>
      <c r="AF18" s="31"/>
      <c r="AG18" s="31"/>
      <c r="AH18" s="31"/>
      <c r="AI18" s="31"/>
      <c r="AJ18" s="31"/>
      <c r="AK18" s="31"/>
      <c r="AL18" s="31"/>
    </row>
    <row r="19" spans="1:38" x14ac:dyDescent="0.35">
      <c r="A19" s="31"/>
      <c r="B19" s="31"/>
      <c r="C19" s="31"/>
      <c r="D19" s="31"/>
      <c r="E19" s="31"/>
      <c r="F19" s="31"/>
      <c r="G19" s="31"/>
      <c r="H19" s="31"/>
      <c r="I19" s="31"/>
      <c r="J19" s="31"/>
      <c r="K19" s="31"/>
      <c r="L19" s="31"/>
      <c r="M19" s="31"/>
      <c r="N19" s="39" t="str">
        <v>C0011</v>
      </c>
      <c r="O19" s="40">
        <v>1163</v>
      </c>
      <c r="P19" s="40">
        <v>1180</v>
      </c>
      <c r="Q19" s="40">
        <v>1616</v>
      </c>
      <c r="R19" s="40">
        <v>1043</v>
      </c>
      <c r="S19" s="40">
        <v>1747</v>
      </c>
      <c r="T19" s="41">
        <v>6749</v>
      </c>
      <c r="U19" s="31"/>
      <c r="V19" s="31"/>
      <c r="W19" s="31"/>
      <c r="X19" s="31"/>
      <c r="Y19" s="31"/>
      <c r="Z19" s="31"/>
      <c r="AA19" s="31"/>
      <c r="AB19" s="31"/>
      <c r="AC19" s="31"/>
      <c r="AD19" s="31"/>
      <c r="AE19" s="31"/>
      <c r="AF19" s="31"/>
      <c r="AG19" s="31"/>
      <c r="AH19" s="31"/>
      <c r="AI19" s="31"/>
      <c r="AJ19" s="31"/>
      <c r="AK19" s="31"/>
      <c r="AL19" s="31"/>
    </row>
    <row r="20" spans="1:38" x14ac:dyDescent="0.35">
      <c r="A20" s="31"/>
      <c r="B20" s="31"/>
      <c r="C20" s="31"/>
      <c r="D20" s="31"/>
      <c r="E20" s="31"/>
      <c r="F20" s="31"/>
      <c r="G20" s="31"/>
      <c r="H20" s="31"/>
      <c r="I20" s="31"/>
      <c r="J20" s="31"/>
      <c r="K20" s="31"/>
      <c r="L20" s="31"/>
      <c r="M20" s="31"/>
      <c r="N20" s="39" t="str">
        <v>C0012</v>
      </c>
      <c r="O20" s="40">
        <v>1438</v>
      </c>
      <c r="P20" s="40">
        <v>1616</v>
      </c>
      <c r="Q20" s="40">
        <v>866</v>
      </c>
      <c r="R20" s="40">
        <v>829</v>
      </c>
      <c r="S20" s="40">
        <v>2070</v>
      </c>
      <c r="T20" s="41">
        <v>6819</v>
      </c>
      <c r="U20" s="31"/>
      <c r="V20" s="31"/>
      <c r="W20" s="31"/>
      <c r="X20" s="31"/>
      <c r="Y20" s="31"/>
      <c r="Z20" s="31"/>
      <c r="AA20" s="31"/>
      <c r="AB20" s="31"/>
      <c r="AC20" s="31"/>
      <c r="AD20" s="31"/>
      <c r="AE20" s="31"/>
      <c r="AF20" s="31"/>
      <c r="AG20" s="31"/>
      <c r="AH20" s="31"/>
      <c r="AI20" s="31"/>
      <c r="AJ20" s="31"/>
      <c r="AK20" s="31"/>
      <c r="AL20" s="31"/>
    </row>
    <row r="21" spans="1:38" x14ac:dyDescent="0.35">
      <c r="A21" s="31"/>
      <c r="B21" s="31"/>
      <c r="C21" s="31"/>
      <c r="D21" s="31"/>
      <c r="E21" s="31"/>
      <c r="F21" s="31"/>
      <c r="G21" s="31"/>
      <c r="H21" s="31"/>
      <c r="I21" s="31"/>
      <c r="J21" s="31"/>
      <c r="K21" s="31"/>
      <c r="L21" s="31"/>
      <c r="M21" s="31"/>
      <c r="N21" s="39" t="str">
        <v>Cleveland</v>
      </c>
      <c r="O21" s="40" t="str">
        <v/>
      </c>
      <c r="P21" s="40" t="str">
        <v/>
      </c>
      <c r="Q21" s="40" t="str">
        <v/>
      </c>
      <c r="R21" s="40" t="str">
        <v/>
      </c>
      <c r="S21" s="40" t="str">
        <v/>
      </c>
      <c r="T21" s="41" t="str">
        <v/>
      </c>
      <c r="U21" s="31"/>
      <c r="V21" s="31"/>
      <c r="W21" s="31"/>
      <c r="X21" s="31"/>
      <c r="Y21" s="31"/>
      <c r="Z21" s="31"/>
      <c r="AA21" s="31"/>
      <c r="AB21" s="31"/>
      <c r="AC21" s="31"/>
      <c r="AD21" s="31"/>
      <c r="AE21" s="31"/>
      <c r="AF21" s="31"/>
      <c r="AG21" s="31"/>
      <c r="AH21" s="31"/>
      <c r="AI21" s="31"/>
      <c r="AJ21" s="31"/>
      <c r="AK21" s="31"/>
      <c r="AL21" s="31"/>
    </row>
    <row r="22" spans="1:38" x14ac:dyDescent="0.35">
      <c r="A22" s="31"/>
      <c r="B22" s="31"/>
      <c r="C22" s="31"/>
      <c r="D22" s="31"/>
      <c r="E22" s="31"/>
      <c r="F22" s="31"/>
      <c r="G22" s="31"/>
      <c r="H22" s="31"/>
      <c r="I22" s="31"/>
      <c r="J22" s="31"/>
      <c r="K22" s="31"/>
      <c r="L22" s="31"/>
      <c r="M22" s="31"/>
      <c r="N22" s="39" t="str">
        <v>C0002</v>
      </c>
      <c r="O22" s="40">
        <v>1233</v>
      </c>
      <c r="P22" s="40">
        <v>223</v>
      </c>
      <c r="Q22" s="40">
        <v>1680</v>
      </c>
      <c r="R22" s="40">
        <v>990</v>
      </c>
      <c r="S22" s="40">
        <v>1508</v>
      </c>
      <c r="T22" s="41">
        <v>5634</v>
      </c>
      <c r="U22" s="31"/>
      <c r="V22" s="31"/>
      <c r="W22" s="31"/>
      <c r="X22" s="31"/>
      <c r="Y22" s="31"/>
      <c r="Z22" s="31"/>
      <c r="AA22" s="31"/>
      <c r="AB22" s="31"/>
      <c r="AC22" s="31"/>
      <c r="AD22" s="31"/>
      <c r="AE22" s="31"/>
      <c r="AF22" s="31"/>
      <c r="AG22" s="31"/>
      <c r="AH22" s="31"/>
      <c r="AI22" s="31"/>
      <c r="AJ22" s="31"/>
      <c r="AK22" s="31"/>
      <c r="AL22" s="31"/>
    </row>
    <row r="23" spans="1:38" x14ac:dyDescent="0.35">
      <c r="A23" s="31"/>
      <c r="B23" s="31"/>
      <c r="C23" s="31"/>
      <c r="D23" s="31"/>
      <c r="E23" s="31"/>
      <c r="F23" s="31"/>
      <c r="G23" s="31"/>
      <c r="H23" s="31"/>
      <c r="I23" s="31"/>
      <c r="J23" s="31"/>
      <c r="K23" s="31"/>
      <c r="L23" s="31"/>
      <c r="M23" s="31"/>
      <c r="N23" s="39" t="str">
        <v>C0007</v>
      </c>
      <c r="O23" s="40">
        <v>1598</v>
      </c>
      <c r="P23" s="40">
        <v>1907</v>
      </c>
      <c r="Q23" s="40">
        <v>869</v>
      </c>
      <c r="R23" s="40">
        <v>1426</v>
      </c>
      <c r="S23" s="40">
        <v>1416</v>
      </c>
      <c r="T23" s="41">
        <v>7216</v>
      </c>
      <c r="U23" s="31"/>
      <c r="V23" s="31"/>
      <c r="W23" s="31"/>
      <c r="X23" s="31"/>
      <c r="Y23" s="31"/>
      <c r="Z23" s="31"/>
      <c r="AA23" s="31"/>
      <c r="AB23" s="31"/>
      <c r="AC23" s="31"/>
      <c r="AD23" s="31"/>
      <c r="AE23" s="31"/>
      <c r="AF23" s="31"/>
      <c r="AG23" s="31"/>
      <c r="AH23" s="31"/>
      <c r="AI23" s="31"/>
      <c r="AJ23" s="31"/>
      <c r="AK23" s="31"/>
      <c r="AL23" s="31"/>
    </row>
    <row r="24" spans="1:38" x14ac:dyDescent="0.35">
      <c r="A24" s="31"/>
      <c r="B24" s="31"/>
      <c r="C24" s="31"/>
      <c r="D24" s="31"/>
      <c r="E24" s="31"/>
      <c r="F24" s="31"/>
      <c r="G24" s="31"/>
      <c r="H24" s="31"/>
      <c r="I24" s="31"/>
      <c r="J24" s="31"/>
      <c r="K24" s="31"/>
      <c r="L24" s="31"/>
      <c r="M24" s="31"/>
      <c r="N24" s="39" t="str">
        <v>C0008</v>
      </c>
      <c r="O24" s="40">
        <v>900</v>
      </c>
      <c r="P24" s="40">
        <v>1016</v>
      </c>
      <c r="Q24" s="40">
        <v>960</v>
      </c>
      <c r="R24" s="40">
        <v>940</v>
      </c>
      <c r="S24" s="40">
        <v>1193</v>
      </c>
      <c r="T24" s="41">
        <v>5009</v>
      </c>
      <c r="U24" s="31"/>
      <c r="V24" s="31"/>
      <c r="W24" s="31"/>
      <c r="X24" s="31"/>
      <c r="Y24" s="31"/>
      <c r="Z24" s="31"/>
      <c r="AA24" s="31"/>
      <c r="AB24" s="31"/>
      <c r="AC24" s="31"/>
      <c r="AD24" s="31"/>
      <c r="AE24" s="31"/>
      <c r="AF24" s="31"/>
      <c r="AG24" s="31"/>
      <c r="AH24" s="31"/>
      <c r="AI24" s="31"/>
      <c r="AJ24" s="31"/>
      <c r="AK24" s="31"/>
      <c r="AL24" s="31"/>
    </row>
    <row r="25" spans="1:38" x14ac:dyDescent="0.35">
      <c r="A25" s="31"/>
      <c r="B25" s="31"/>
      <c r="C25" s="31"/>
      <c r="D25" s="31"/>
      <c r="E25" s="31"/>
      <c r="F25" s="31"/>
      <c r="G25" s="31"/>
      <c r="H25" s="31"/>
      <c r="I25" s="31"/>
      <c r="J25" s="31"/>
      <c r="K25" s="31"/>
      <c r="L25" s="31"/>
      <c r="M25" s="31"/>
      <c r="N25" s="39" t="str">
        <v>C0010</v>
      </c>
      <c r="O25" s="40">
        <v>900</v>
      </c>
      <c r="P25" s="40">
        <v>1470</v>
      </c>
      <c r="Q25" s="40">
        <v>1617</v>
      </c>
      <c r="R25" s="40">
        <v>1314</v>
      </c>
      <c r="S25" s="40">
        <v>941</v>
      </c>
      <c r="T25" s="41">
        <v>6242</v>
      </c>
      <c r="U25" s="31"/>
      <c r="V25" s="31"/>
      <c r="W25" s="31"/>
      <c r="X25" s="31"/>
      <c r="Y25" s="31"/>
      <c r="Z25" s="31"/>
      <c r="AA25" s="31"/>
      <c r="AB25" s="31"/>
      <c r="AC25" s="31"/>
      <c r="AD25" s="31"/>
      <c r="AE25" s="31"/>
      <c r="AF25" s="31"/>
      <c r="AG25" s="31"/>
      <c r="AH25" s="31"/>
      <c r="AI25" s="31"/>
      <c r="AJ25" s="31"/>
      <c r="AK25" s="31"/>
      <c r="AL25" s="31"/>
    </row>
    <row r="26" spans="1:38" x14ac:dyDescent="0.35">
      <c r="A26" s="31"/>
      <c r="B26" s="31"/>
      <c r="C26" s="31"/>
      <c r="D26" s="31"/>
      <c r="E26" s="31"/>
      <c r="F26" s="31"/>
      <c r="G26" s="31"/>
      <c r="H26" s="31"/>
      <c r="I26" s="31"/>
      <c r="J26" s="31"/>
      <c r="K26" s="31"/>
      <c r="L26" s="31"/>
      <c r="M26" s="31"/>
      <c r="N26" s="39" t="str">
        <v>C0013</v>
      </c>
      <c r="O26" s="40">
        <v>1255</v>
      </c>
      <c r="P26" s="40">
        <v>516</v>
      </c>
      <c r="Q26" s="40">
        <v>1874</v>
      </c>
      <c r="R26" s="40">
        <v>1863</v>
      </c>
      <c r="S26" s="40">
        <v>1722</v>
      </c>
      <c r="T26" s="41">
        <v>7230</v>
      </c>
      <c r="U26" s="31"/>
      <c r="V26" s="31"/>
      <c r="W26" s="31"/>
      <c r="X26" s="31"/>
      <c r="Y26" s="31"/>
      <c r="Z26" s="31"/>
      <c r="AA26" s="31"/>
      <c r="AB26" s="31"/>
      <c r="AC26" s="31"/>
      <c r="AD26" s="31"/>
      <c r="AE26" s="31"/>
      <c r="AF26" s="31"/>
      <c r="AG26" s="31"/>
      <c r="AH26" s="31"/>
      <c r="AI26" s="31"/>
      <c r="AJ26" s="31"/>
      <c r="AK26" s="31"/>
      <c r="AL26" s="31"/>
    </row>
    <row r="27" spans="1:38" x14ac:dyDescent="0.35">
      <c r="A27" s="31"/>
      <c r="B27" s="31"/>
      <c r="C27" s="31"/>
      <c r="D27" s="31"/>
      <c r="E27" s="31"/>
      <c r="F27" s="31"/>
      <c r="G27" s="31"/>
      <c r="H27" s="31"/>
      <c r="I27" s="31"/>
      <c r="J27" s="31"/>
      <c r="K27" s="31"/>
      <c r="L27" s="31"/>
      <c r="M27" s="31"/>
      <c r="N27" s="39" t="str">
        <v>C0015</v>
      </c>
      <c r="O27" s="40">
        <v>1138</v>
      </c>
      <c r="P27" s="40">
        <v>1898</v>
      </c>
      <c r="Q27" s="40">
        <v>1482</v>
      </c>
      <c r="R27" s="40">
        <v>846</v>
      </c>
      <c r="S27" s="40">
        <v>1154</v>
      </c>
      <c r="T27" s="41">
        <v>6518</v>
      </c>
      <c r="U27" s="31"/>
      <c r="V27" s="31"/>
      <c r="W27" s="31"/>
      <c r="X27" s="31"/>
      <c r="Y27" s="31"/>
      <c r="Z27" s="31"/>
      <c r="AA27" s="31"/>
      <c r="AB27" s="31"/>
      <c r="AC27" s="31"/>
      <c r="AD27" s="31"/>
      <c r="AE27" s="31"/>
      <c r="AF27" s="31"/>
      <c r="AG27" s="31"/>
      <c r="AH27" s="31"/>
      <c r="AI27" s="31"/>
      <c r="AJ27" s="31"/>
      <c r="AK27" s="31"/>
      <c r="AL27" s="31"/>
    </row>
    <row r="28" spans="1:38" x14ac:dyDescent="0.35">
      <c r="A28" s="31"/>
      <c r="B28" s="31"/>
      <c r="C28" s="31"/>
      <c r="D28" s="31"/>
      <c r="E28" s="31"/>
      <c r="F28" s="31"/>
      <c r="G28" s="31"/>
      <c r="H28" s="31"/>
      <c r="I28" s="31"/>
      <c r="J28" s="31"/>
      <c r="K28" s="31"/>
      <c r="L28" s="31"/>
      <c r="M28" s="31"/>
      <c r="N28" s="39" t="str">
        <v>Columbus</v>
      </c>
      <c r="O28" s="40" t="str">
        <v/>
      </c>
      <c r="P28" s="40" t="str">
        <v/>
      </c>
      <c r="Q28" s="40" t="str">
        <v/>
      </c>
      <c r="R28" s="40" t="str">
        <v/>
      </c>
      <c r="S28" s="40" t="str">
        <v/>
      </c>
      <c r="T28" s="41" t="str">
        <v/>
      </c>
      <c r="U28" s="31"/>
      <c r="V28" s="31"/>
      <c r="W28" s="31"/>
      <c r="X28" s="31"/>
      <c r="Y28" s="31"/>
      <c r="Z28" s="31"/>
      <c r="AA28" s="31"/>
      <c r="AB28" s="31"/>
      <c r="AC28" s="31"/>
      <c r="AD28" s="31"/>
      <c r="AE28" s="31"/>
      <c r="AF28" s="31"/>
      <c r="AG28" s="31"/>
      <c r="AH28" s="31"/>
      <c r="AI28" s="31"/>
      <c r="AJ28" s="31"/>
      <c r="AK28" s="31"/>
      <c r="AL28" s="31"/>
    </row>
    <row r="29" spans="1:38" x14ac:dyDescent="0.35">
      <c r="A29" s="31"/>
      <c r="B29" s="31"/>
      <c r="C29" s="31"/>
      <c r="D29" s="31"/>
      <c r="E29" s="31"/>
      <c r="F29" s="31"/>
      <c r="G29" s="31"/>
      <c r="H29" s="31"/>
      <c r="I29" s="31"/>
      <c r="J29" s="31"/>
      <c r="K29" s="31"/>
      <c r="L29" s="31"/>
      <c r="M29" s="31"/>
      <c r="N29" s="39" t="str">
        <v>C0001</v>
      </c>
      <c r="O29" s="40">
        <v>1655</v>
      </c>
      <c r="P29" s="40">
        <v>805</v>
      </c>
      <c r="Q29" s="40">
        <v>2263</v>
      </c>
      <c r="R29" s="40">
        <v>987</v>
      </c>
      <c r="S29" s="40">
        <v>1075</v>
      </c>
      <c r="T29" s="41">
        <v>6785</v>
      </c>
      <c r="U29" s="31"/>
      <c r="V29" s="31"/>
      <c r="W29" s="31"/>
      <c r="X29" s="31"/>
      <c r="Y29" s="31"/>
      <c r="Z29" s="31"/>
      <c r="AA29" s="31"/>
      <c r="AB29" s="31"/>
      <c r="AC29" s="31"/>
      <c r="AD29" s="31"/>
      <c r="AE29" s="31"/>
      <c r="AF29" s="31"/>
      <c r="AG29" s="31"/>
      <c r="AH29" s="31"/>
      <c r="AI29" s="31"/>
      <c r="AJ29" s="31"/>
      <c r="AK29" s="31"/>
      <c r="AL29" s="31"/>
    </row>
    <row r="30" spans="1:38" x14ac:dyDescent="0.35">
      <c r="A30" s="31"/>
      <c r="B30" s="31"/>
      <c r="C30" s="31"/>
      <c r="D30" s="31"/>
      <c r="E30" s="31"/>
      <c r="F30" s="31"/>
      <c r="G30" s="31"/>
      <c r="H30" s="31"/>
      <c r="I30" s="31"/>
      <c r="J30" s="31"/>
      <c r="K30" s="31"/>
      <c r="L30" s="31"/>
      <c r="M30" s="31"/>
      <c r="N30" s="39" t="str">
        <v>C0005</v>
      </c>
      <c r="O30" s="40">
        <v>1104</v>
      </c>
      <c r="P30" s="40">
        <v>2280</v>
      </c>
      <c r="Q30" s="40">
        <v>1445</v>
      </c>
      <c r="R30" s="40">
        <v>1722</v>
      </c>
      <c r="S30" s="40">
        <v>1196</v>
      </c>
      <c r="T30" s="41">
        <v>7747</v>
      </c>
      <c r="U30" s="31"/>
      <c r="V30" s="31"/>
      <c r="W30" s="31"/>
      <c r="X30" s="31"/>
      <c r="Y30" s="31"/>
      <c r="Z30" s="31"/>
      <c r="AA30" s="31"/>
      <c r="AB30" s="31"/>
      <c r="AC30" s="31"/>
      <c r="AD30" s="31"/>
      <c r="AE30" s="31"/>
      <c r="AF30" s="31"/>
      <c r="AG30" s="31"/>
      <c r="AH30" s="31"/>
      <c r="AI30" s="31"/>
      <c r="AJ30" s="31"/>
      <c r="AK30" s="31"/>
      <c r="AL30" s="31"/>
    </row>
    <row r="31" spans="1:38" x14ac:dyDescent="0.35">
      <c r="A31" s="31"/>
      <c r="B31" s="31"/>
      <c r="C31" s="31"/>
      <c r="D31" s="31"/>
      <c r="E31" s="31"/>
      <c r="F31" s="31"/>
      <c r="G31" s="31"/>
      <c r="H31" s="31"/>
      <c r="I31" s="31"/>
      <c r="J31" s="31"/>
      <c r="K31" s="31"/>
      <c r="L31" s="31"/>
      <c r="M31" s="31"/>
      <c r="N31" s="39" t="str">
        <v>C0006</v>
      </c>
      <c r="O31" s="40">
        <v>372</v>
      </c>
      <c r="P31" s="40">
        <v>1818</v>
      </c>
      <c r="Q31" s="40">
        <v>1346</v>
      </c>
      <c r="R31" s="40">
        <v>1156</v>
      </c>
      <c r="S31" s="40">
        <v>1484</v>
      </c>
      <c r="T31" s="41">
        <v>6176</v>
      </c>
      <c r="U31" s="31"/>
      <c r="V31" s="31"/>
      <c r="W31" s="31"/>
      <c r="X31" s="31"/>
      <c r="Y31" s="31"/>
      <c r="Z31" s="31"/>
      <c r="AA31" s="31"/>
      <c r="AB31" s="31"/>
      <c r="AC31" s="31"/>
      <c r="AD31" s="31"/>
      <c r="AE31" s="31"/>
      <c r="AF31" s="31"/>
      <c r="AG31" s="31"/>
      <c r="AH31" s="31"/>
      <c r="AI31" s="31"/>
      <c r="AJ31" s="31"/>
      <c r="AK31" s="31"/>
      <c r="AL31" s="31"/>
    </row>
    <row r="32" spans="1:38" x14ac:dyDescent="0.35">
      <c r="A32" s="31"/>
      <c r="B32" s="31"/>
      <c r="C32" s="31"/>
      <c r="D32" s="31"/>
      <c r="E32" s="31"/>
      <c r="F32" s="31"/>
      <c r="G32" s="31"/>
      <c r="H32" s="31"/>
      <c r="I32" s="31"/>
      <c r="J32" s="31"/>
      <c r="K32" s="31"/>
      <c r="L32" s="31"/>
      <c r="M32" s="31"/>
      <c r="N32" s="39" t="str">
        <v>C0009</v>
      </c>
      <c r="O32" s="40">
        <v>1415</v>
      </c>
      <c r="P32" s="40">
        <v>1271</v>
      </c>
      <c r="Q32" s="40">
        <v>1214</v>
      </c>
      <c r="R32" s="40">
        <v>1135</v>
      </c>
      <c r="S32" s="40">
        <v>1566</v>
      </c>
      <c r="T32" s="41">
        <v>6601</v>
      </c>
      <c r="U32" s="31"/>
      <c r="V32" s="31"/>
      <c r="W32" s="31"/>
      <c r="X32" s="31"/>
      <c r="Y32" s="31"/>
      <c r="Z32" s="31"/>
      <c r="AA32" s="31"/>
      <c r="AB32" s="31"/>
      <c r="AC32" s="31"/>
      <c r="AD32" s="31"/>
      <c r="AE32" s="31"/>
      <c r="AF32" s="31"/>
      <c r="AG32" s="31"/>
      <c r="AH32" s="31"/>
      <c r="AI32" s="31"/>
      <c r="AJ32" s="31"/>
      <c r="AK32" s="31"/>
      <c r="AL32" s="31"/>
    </row>
    <row r="33" spans="1:38" x14ac:dyDescent="0.35">
      <c r="A33" s="31"/>
      <c r="B33" s="31"/>
      <c r="C33" s="31"/>
      <c r="D33" s="31"/>
      <c r="E33" s="31"/>
      <c r="F33" s="31"/>
      <c r="G33" s="31"/>
      <c r="H33" s="31"/>
      <c r="I33" s="31"/>
      <c r="J33" s="31"/>
      <c r="K33" s="31"/>
      <c r="L33" s="31"/>
      <c r="M33" s="31"/>
      <c r="N33" s="42" t="str">
        <v>C0014</v>
      </c>
      <c r="O33" s="43">
        <v>1362</v>
      </c>
      <c r="P33" s="43">
        <v>1363</v>
      </c>
      <c r="Q33" s="43">
        <v>1152</v>
      </c>
      <c r="R33" s="43">
        <v>777</v>
      </c>
      <c r="S33" s="43">
        <v>750</v>
      </c>
      <c r="T33" s="44">
        <v>5404</v>
      </c>
      <c r="U33" s="31"/>
      <c r="V33" s="31"/>
      <c r="W33" s="31"/>
      <c r="X33" s="31"/>
      <c r="Y33" s="31"/>
      <c r="Z33" s="31"/>
      <c r="AA33" s="31"/>
      <c r="AB33" s="31"/>
      <c r="AC33" s="31"/>
      <c r="AD33" s="31"/>
      <c r="AE33" s="31"/>
      <c r="AF33" s="31"/>
      <c r="AG33" s="31"/>
      <c r="AH33" s="31"/>
      <c r="AI33" s="31"/>
      <c r="AJ33" s="31"/>
      <c r="AK33" s="31"/>
      <c r="AL33" s="31"/>
    </row>
    <row r="34" spans="1:38" x14ac:dyDescent="0.3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row>
    <row r="35" spans="1:38" x14ac:dyDescent="0.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row>
    <row r="36" spans="1:38" x14ac:dyDescent="0.3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row>
    <row r="37" spans="1:38" x14ac:dyDescent="0.3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row>
    <row r="38" spans="1:38" x14ac:dyDescent="0.3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row>
    <row r="39" spans="1:38" x14ac:dyDescent="0.3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row>
    <row r="40" spans="1:38" x14ac:dyDescent="0.3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row>
    <row r="41" spans="1:38" x14ac:dyDescent="0.3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row>
    <row r="42" spans="1:38" x14ac:dyDescent="0.3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row>
    <row r="43" spans="1:38" x14ac:dyDescent="0.3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row>
    <row r="44" spans="1:38" x14ac:dyDescent="0.3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row>
    <row r="45" spans="1:38" x14ac:dyDescent="0.3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row>
    <row r="46" spans="1:38" x14ac:dyDescent="0.35">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row>
    <row r="47" spans="1:38" x14ac:dyDescent="0.35">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row>
    <row r="48" spans="1:38" x14ac:dyDescent="0.35">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row>
    <row r="49" spans="1:38" x14ac:dyDescent="0.3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row>
    <row r="50" spans="1:38" x14ac:dyDescent="0.35">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row>
    <row r="51" spans="1:38" x14ac:dyDescent="0.35">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row>
    <row r="52" spans="1:38" x14ac:dyDescent="0.35">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row>
    <row r="53" spans="1:38" x14ac:dyDescent="0.3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row>
    <row r="54" spans="1:38" x14ac:dyDescent="0.35">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row>
    <row r="55" spans="1:38" x14ac:dyDescent="0.3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row>
    <row r="56" spans="1:38" x14ac:dyDescent="0.35">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row>
    <row r="57" spans="1:38" x14ac:dyDescent="0.35">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row>
    <row r="58" spans="1:38" x14ac:dyDescent="0.35">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row>
    <row r="59" spans="1:38" x14ac:dyDescent="0.3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row>
    <row r="60" spans="1:38" x14ac:dyDescent="0.3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row>
    <row r="61" spans="1:38" x14ac:dyDescent="0.35">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row>
    <row r="62" spans="1:38" x14ac:dyDescent="0.3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row>
    <row r="63" spans="1:38" x14ac:dyDescent="0.35">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row>
    <row r="64" spans="1:38" x14ac:dyDescent="0.3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row>
    <row r="65" spans="1:38" x14ac:dyDescent="0.3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row>
    <row r="66" spans="1:38" x14ac:dyDescent="0.35">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row>
    <row r="67" spans="1:38" x14ac:dyDescent="0.35">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row>
    <row r="68" spans="1:38" x14ac:dyDescent="0.3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row>
    <row r="69" spans="1:38" x14ac:dyDescent="0.3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row>
    <row r="70" spans="1:38" x14ac:dyDescent="0.3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row>
    <row r="71" spans="1:38" x14ac:dyDescent="0.35">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row>
    <row r="72" spans="1:38" x14ac:dyDescent="0.3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row>
    <row r="73" spans="1:38" x14ac:dyDescent="0.3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row>
    <row r="74" spans="1:38" x14ac:dyDescent="0.35">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row>
    <row r="75" spans="1:38" x14ac:dyDescent="0.3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row>
    <row r="76" spans="1:38" x14ac:dyDescent="0.35">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row>
    <row r="77" spans="1:38" x14ac:dyDescent="0.35">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row>
    <row r="78" spans="1:38" x14ac:dyDescent="0.3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row>
    <row r="79" spans="1:38" x14ac:dyDescent="0.3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row>
    <row r="80" spans="1:38" x14ac:dyDescent="0.3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row>
    <row r="81" spans="1:38" x14ac:dyDescent="0.3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row>
    <row r="82" spans="1:38" x14ac:dyDescent="0.3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row>
    <row r="83" spans="1:38" x14ac:dyDescent="0.3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row>
    <row r="84" spans="1:38" x14ac:dyDescent="0.3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row>
    <row r="85" spans="1:38" x14ac:dyDescent="0.3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row>
    <row r="86" spans="1:38" x14ac:dyDescent="0.3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row>
    <row r="87" spans="1:38" x14ac:dyDescent="0.3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row>
    <row r="88" spans="1:38" x14ac:dyDescent="0.3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row>
    <row r="89" spans="1:38" x14ac:dyDescent="0.3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row>
    <row r="90" spans="1:38" x14ac:dyDescent="0.3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row>
    <row r="91" spans="1:38" x14ac:dyDescent="0.3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row>
    <row r="92" spans="1:38" x14ac:dyDescent="0.3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row>
    <row r="93" spans="1:38" x14ac:dyDescent="0.3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row>
    <row r="94" spans="1:38" x14ac:dyDescent="0.3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row>
    <row r="95" spans="1:38" x14ac:dyDescent="0.3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row>
    <row r="96" spans="1:38" x14ac:dyDescent="0.3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row>
    <row r="97" spans="1:38" x14ac:dyDescent="0.3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row>
    <row r="98" spans="1:38" x14ac:dyDescent="0.3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row>
    <row r="99" spans="1:38" x14ac:dyDescent="0.3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row>
    <row r="100" spans="1:38" x14ac:dyDescent="0.3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row>
    <row r="101" spans="1:38" x14ac:dyDescent="0.3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row>
    <row r="102" spans="1:38" x14ac:dyDescent="0.3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row>
    <row r="103" spans="1:38" x14ac:dyDescent="0.3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row>
    <row r="104" spans="1:38" x14ac:dyDescent="0.3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row>
    <row r="105" spans="1:38" x14ac:dyDescent="0.3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row>
    <row r="106" spans="1:38" x14ac:dyDescent="0.3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row>
    <row r="107" spans="1:38" x14ac:dyDescent="0.3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row>
    <row r="108" spans="1:38" x14ac:dyDescent="0.3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row>
    <row r="109" spans="1:38" x14ac:dyDescent="0.3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row>
    <row r="110" spans="1:38" x14ac:dyDescent="0.3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row>
    <row r="111" spans="1:38" x14ac:dyDescent="0.3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row>
    <row r="112" spans="1:38" x14ac:dyDescent="0.3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row>
    <row r="113" spans="1:38" x14ac:dyDescent="0.3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row>
    <row r="114" spans="1:38" x14ac:dyDescent="0.3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row>
    <row r="115" spans="1:38" x14ac:dyDescent="0.3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row>
    <row r="116" spans="1:38" x14ac:dyDescent="0.35">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row>
    <row r="117" spans="1:38" x14ac:dyDescent="0.35">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row>
    <row r="118" spans="1:38" x14ac:dyDescent="0.35">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row>
    <row r="119" spans="1:38" x14ac:dyDescent="0.35">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row>
    <row r="120" spans="1:38" x14ac:dyDescent="0.35">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row>
    <row r="121" spans="1:38" x14ac:dyDescent="0.35">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row>
    <row r="122" spans="1:38" x14ac:dyDescent="0.3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row>
    <row r="123" spans="1:38" x14ac:dyDescent="0.3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row>
    <row r="124" spans="1:38" x14ac:dyDescent="0.3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row>
    <row r="125" spans="1:38" x14ac:dyDescent="0.3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row>
    <row r="126" spans="1:38" x14ac:dyDescent="0.3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row>
    <row r="127" spans="1:38" x14ac:dyDescent="0.3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row>
    <row r="128" spans="1:38" x14ac:dyDescent="0.3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row>
    <row r="129" spans="1:38" x14ac:dyDescent="0.3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row>
    <row r="130" spans="1:38" x14ac:dyDescent="0.3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row>
    <row r="131" spans="1:38" x14ac:dyDescent="0.3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row>
    <row r="132" spans="1:38" x14ac:dyDescent="0.3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row>
    <row r="133" spans="1:38" x14ac:dyDescent="0.3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row>
    <row r="134" spans="1:38" x14ac:dyDescent="0.3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row>
    <row r="135" spans="1:38" x14ac:dyDescent="0.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row>
    <row r="136" spans="1:38" x14ac:dyDescent="0.3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row>
    <row r="137" spans="1:38" x14ac:dyDescent="0.3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row>
    <row r="138" spans="1:38" x14ac:dyDescent="0.3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row>
  </sheetData>
  <conditionalFormatting sqref="O17:S33">
    <cfRule type="dataBar" priority="3">
      <dataBar>
        <cfvo type="num" val="0"/>
        <cfvo type="formula" val="MAX($O$17:$S$33)*2"/>
        <color theme="4"/>
      </dataBar>
      <extLst>
        <ext xmlns:x14="http://schemas.microsoft.com/office/spreadsheetml/2009/9/main" uri="{B025F937-C7B1-47D3-B67F-A62EFF666E3E}">
          <x14:id>{D41B7EEE-05D0-4B73-A8FE-2C1C8914F7AD}</x14:id>
        </ext>
      </extLst>
    </cfRule>
    <cfRule type="dataBar" priority="4">
      <dataBar>
        <cfvo type="min"/>
        <cfvo type="max"/>
        <color rgb="FFFF555A"/>
      </dataBar>
      <extLst>
        <ext xmlns:x14="http://schemas.microsoft.com/office/spreadsheetml/2009/9/main" uri="{B025F937-C7B1-47D3-B67F-A62EFF666E3E}">
          <x14:id>{A585395A-376D-49CD-8112-4176704DDAFD}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C9814CDE-123D-4D5B-80B5-A57F9AE928DD}">
            <xm:f>O$15=pivots!$G$28</xm:f>
            <x14:dxf>
              <fill>
                <patternFill>
                  <bgColor theme="5"/>
                </patternFill>
              </fill>
              <border>
                <left style="thin">
                  <color auto="1"/>
                </left>
                <right style="thin">
                  <color auto="1"/>
                </right>
                <top/>
                <bottom/>
                <vertical/>
                <horizontal/>
              </border>
            </x14:dxf>
          </x14:cfRule>
          <xm:sqref>O15:S33</xm:sqref>
        </x14:conditionalFormatting>
        <x14:conditionalFormatting xmlns:xm="http://schemas.microsoft.com/office/excel/2006/main">
          <x14:cfRule type="dataBar" id="{D41B7EEE-05D0-4B73-A8FE-2C1C8914F7AD}">
            <x14:dataBar minLength="0" maxLength="100" gradient="0">
              <x14:cfvo type="num">
                <xm:f>0</xm:f>
              </x14:cfvo>
              <x14:cfvo type="formula">
                <xm:f>MAX($O$17:$S$33)*2</xm:f>
              </x14:cfvo>
              <x14:negativeFillColor rgb="FFFF0000"/>
              <x14:axisColor rgb="FF000000"/>
            </x14:dataBar>
          </x14:cfRule>
          <x14:cfRule type="dataBar" id="{A585395A-376D-49CD-8112-4176704DDAFD}">
            <x14:dataBar minLength="0" maxLength="100" border="1" gradient="0" negativeBarBorderColorSameAsPositive="0">
              <x14:cfvo type="autoMin"/>
              <x14:cfvo type="autoMax"/>
              <x14:borderColor rgb="FFFF555A"/>
              <x14:negativeFillColor rgb="FFFF0000"/>
              <x14:negativeBorderColor rgb="FFFF0000"/>
              <x14:axisColor rgb="FF000000"/>
            </x14:dataBar>
          </x14:cfRule>
          <xm:sqref>O17:S33</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prem sumanth</cp:lastModifiedBy>
  <dcterms:created xsi:type="dcterms:W3CDTF">2021-03-14T20:21:32Z</dcterms:created>
  <dcterms:modified xsi:type="dcterms:W3CDTF">2026-06-15T12:22:12Z</dcterms:modified>
</cp:coreProperties>
</file>